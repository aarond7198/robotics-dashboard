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202300"/>
  <mc:AlternateContent xmlns:mc="http://schemas.openxmlformats.org/markup-compatibility/2006">
    <mc:Choice Requires="x15">
      <x15ac:absPath xmlns:x15ac="http://schemas.microsoft.com/office/spreadsheetml/2010/11/ac" url="I:\Departments\PCC Robotics\Risk Assessment\"/>
    </mc:Choice>
  </mc:AlternateContent>
  <xr:revisionPtr revIDLastSave="0" documentId="13_ncr:1_{FFA2FA36-2238-4C20-88EF-4C59F6C2DA9A}" xr6:coauthVersionLast="47" xr6:coauthVersionMax="47" xr10:uidLastSave="{00000000-0000-0000-0000-000000000000}"/>
  <bookViews>
    <workbookView xWindow="30612" yWindow="-96" windowWidth="30936" windowHeight="16776" xr2:uid="{04DE0C31-862C-4F1A-B559-F723A8B4FF02}"/>
  </bookViews>
  <sheets>
    <sheet name="Risk Assessment" sheetId="1" r:id="rId1"/>
    <sheet name="Data" sheetId="2" r:id="rId2"/>
    <sheet name="Template RA Line" sheetId="3" r:id="rId3"/>
  </sheets>
  <externalReferences>
    <externalReference r:id="rId4"/>
  </externalReferences>
  <definedNames>
    <definedName name="FrequencyList">FE[Frequency]</definedName>
    <definedName name="LikelihoodList">LO[Likelihood]</definedName>
    <definedName name="PersonsList">NP[At Risk]</definedName>
    <definedName name="RiskScoreCells">Risk [1]Assessment!$G$11,'Risk Assessment'!$H$16,'Risk Assessment'!$H$21,'Risk Assessment'!$H$26,'Risk Assessment'!$H$31,'Risk Assessment'!$H$36,'Risk Assessment'!$H$41,'Risk Assessment'!$H$46,'Risk Assessment'!$H$51,'Risk Assessment'!$H$56,'Risk Assessment'!$H$61,'Risk Assessment'!$H$66,'Risk Assessment'!$H$262,'Risk Assessment'!$H$267,'Risk Assessment'!$H$335,'Risk Assessment'!$N$11,'Risk Assessment'!$N$16,'Risk Assessment'!$N$21,'Risk Assessment'!$N$26,'Risk Assessment'!$N$31,'Risk Assessment'!$N$36,'Risk Assessment'!$N$41,'Risk Assessment'!$N$46,'Risk Assessment'!$N$51,'Risk Assessment'!$N$56,'Risk Assessment'!$N$61,'Risk Assessment'!$N$66,'Risk Assessment'!$N$262,'Risk Assessment'!$N$267,'Risk Assessment'!$N$335</definedName>
    <definedName name="SeverityList">DPH[Severity]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1" i="1" l="1"/>
  <c r="H185" i="1"/>
  <c r="H98" i="1"/>
  <c r="H41" i="1"/>
  <c r="H93" i="1"/>
  <c r="H21" i="1"/>
  <c r="N155" i="1"/>
  <c r="H78" i="1"/>
  <c r="N165" i="1"/>
  <c r="N56" i="1"/>
  <c r="H160" i="1"/>
  <c r="H180" i="1"/>
  <c r="N83" i="1"/>
  <c r="H113" i="1"/>
  <c r="N88" i="1"/>
  <c r="N51" i="1"/>
  <c r="N11" i="1"/>
  <c r="N200" i="1"/>
  <c r="N61" i="1"/>
  <c r="H165" i="1"/>
  <c r="N36" i="1"/>
  <c r="N170" i="1"/>
  <c r="H11" i="1"/>
  <c r="N180" i="1"/>
  <c r="N195" i="1"/>
  <c r="N123" i="1"/>
  <c r="H56" i="1"/>
  <c r="N150" i="1"/>
  <c r="H175" i="1"/>
  <c r="H31" i="1"/>
  <c r="H155" i="1"/>
  <c r="N78" i="1"/>
  <c r="H16" i="1"/>
  <c r="H88" i="1"/>
  <c r="N205" i="1"/>
  <c r="H26" i="1"/>
  <c r="H170" i="1"/>
  <c r="H200" i="1"/>
  <c r="H118" i="1"/>
  <c r="H66" i="1"/>
  <c r="N98" i="1"/>
  <c r="H133" i="1"/>
  <c r="N103" i="1"/>
  <c r="N46" i="1"/>
  <c r="H51" i="1"/>
  <c r="N133" i="1"/>
  <c r="H128" i="1"/>
  <c r="N66" i="1"/>
  <c r="H103" i="1"/>
  <c r="N190" i="1"/>
  <c r="N21" i="1"/>
  <c r="N41" i="1"/>
  <c r="N113" i="1"/>
  <c r="H36" i="1"/>
  <c r="N31" i="1"/>
  <c r="N26" i="1"/>
  <c r="N93" i="1"/>
  <c r="H190" i="1"/>
  <c r="H83" i="1"/>
  <c r="N5" i="3"/>
  <c r="H150" i="1"/>
  <c r="N118" i="1"/>
  <c r="H46" i="1"/>
  <c r="N160" i="1"/>
  <c r="H108" i="1"/>
  <c r="N16" i="1"/>
  <c r="H123" i="1"/>
  <c r="N175" i="1"/>
  <c r="H195" i="1"/>
  <c r="G5" i="3"/>
  <c r="N185" i="1"/>
  <c r="N128" i="1"/>
  <c r="H205" i="1"/>
  <c r="N108" i="1"/>
</calcChain>
</file>

<file path=xl/sharedStrings.xml><?xml version="1.0" encoding="utf-8"?>
<sst xmlns="http://schemas.openxmlformats.org/spreadsheetml/2006/main" count="553" uniqueCount="172">
  <si>
    <t xml:space="preserve">Performed By: </t>
  </si>
  <si>
    <t>Customer:</t>
  </si>
  <si>
    <t>Application:</t>
  </si>
  <si>
    <t>Location:</t>
  </si>
  <si>
    <t>Almost Impossible</t>
  </si>
  <si>
    <t>Unlikely - But Could Occur</t>
  </si>
  <si>
    <t>Possible - But Unusual</t>
  </si>
  <si>
    <t>Even Chance - Could Happen</t>
  </si>
  <si>
    <t>Probable - Not Surprising</t>
  </si>
  <si>
    <t>Likely - To Be Expected</t>
  </si>
  <si>
    <t>Certain - No Doubt</t>
  </si>
  <si>
    <t>FE - Frequency of Exposure</t>
  </si>
  <si>
    <t>Annually</t>
  </si>
  <si>
    <t>Monthly</t>
  </si>
  <si>
    <t>Weekly</t>
  </si>
  <si>
    <t>Daily</t>
  </si>
  <si>
    <t>Hourly</t>
  </si>
  <si>
    <t>Constantly</t>
  </si>
  <si>
    <t>HRN - Hazard Rating Number</t>
  </si>
  <si>
    <t>0-5</t>
  </si>
  <si>
    <t>5+</t>
  </si>
  <si>
    <t>50+</t>
  </si>
  <si>
    <t>500+</t>
  </si>
  <si>
    <t>Negligible</t>
  </si>
  <si>
    <t>Low, Significant</t>
  </si>
  <si>
    <t>High</t>
  </si>
  <si>
    <t>Unacceptable</t>
  </si>
  <si>
    <t>DPH - Degree of Possible Harm</t>
  </si>
  <si>
    <t>Scratch or Bruise</t>
  </si>
  <si>
    <t>Lacerations or mild-ill effect</t>
  </si>
  <si>
    <t>Fatality</t>
  </si>
  <si>
    <t>NP - Number of Persons at Risk</t>
  </si>
  <si>
    <t>Value</t>
  </si>
  <si>
    <t>Frequency</t>
  </si>
  <si>
    <t>Severity</t>
  </si>
  <si>
    <t>At Risk</t>
  </si>
  <si>
    <t>1-2 Persons</t>
  </si>
  <si>
    <t>3-7 Persons</t>
  </si>
  <si>
    <t>8-15 Persons</t>
  </si>
  <si>
    <t>16-50 Persons</t>
  </si>
  <si>
    <t>50+ Persons</t>
  </si>
  <si>
    <t>LO - Likelihood of Occurrence</t>
  </si>
  <si>
    <t>Likelihood</t>
  </si>
  <si>
    <t>Affected</t>
  </si>
  <si>
    <t>Residual Risk</t>
  </si>
  <si>
    <t>Task</t>
  </si>
  <si>
    <t>RISK SCORE</t>
  </si>
  <si>
    <t>Initial Risk</t>
  </si>
  <si>
    <t>Conceivable but Improbable</t>
  </si>
  <si>
    <t>Primary Contact:</t>
  </si>
  <si>
    <t>Risk Reduction Measures</t>
  </si>
  <si>
    <t>Minor Bone Break</t>
  </si>
  <si>
    <t>Major Bone Break</t>
  </si>
  <si>
    <t>Any modifications, changes in use, or deviations from the defined application may invalidate the conclusions of this assessment.</t>
  </si>
  <si>
    <t>Attendees</t>
  </si>
  <si>
    <t>Robot actuates cylinders down to grip plungers</t>
  </si>
  <si>
    <t>HAZARD</t>
  </si>
  <si>
    <t>RISK REDUCTION</t>
  </si>
  <si>
    <t>Loss of (1) Body Part/Function</t>
  </si>
  <si>
    <t>Loss of (1+) Body Part/Function</t>
  </si>
  <si>
    <t>Possible Hazards</t>
  </si>
  <si>
    <t>This risk assessment has been prepared based on the information available at the time of review and under the following requirements:</t>
  </si>
  <si>
    <t>Task 1</t>
  </si>
  <si>
    <t xml:space="preserve">Task 2 </t>
  </si>
  <si>
    <t>Task 3</t>
  </si>
  <si>
    <t>Task 4</t>
  </si>
  <si>
    <t>Task 5</t>
  </si>
  <si>
    <t>Task 6</t>
  </si>
  <si>
    <t>Task 7</t>
  </si>
  <si>
    <t>Task 8</t>
  </si>
  <si>
    <t>Task 9</t>
  </si>
  <si>
    <t>Task 10</t>
  </si>
  <si>
    <t>Task 11</t>
  </si>
  <si>
    <t>Task 12</t>
  </si>
  <si>
    <t>Hazard 1</t>
  </si>
  <si>
    <t>Hazard 2</t>
  </si>
  <si>
    <t>Hazard 3</t>
  </si>
  <si>
    <t>Hazard 4</t>
  </si>
  <si>
    <t>Hazard 5</t>
  </si>
  <si>
    <t>Hazard 6</t>
  </si>
  <si>
    <t>Hazard 7</t>
  </si>
  <si>
    <t>Hazard 8</t>
  </si>
  <si>
    <t>Hazard 9</t>
  </si>
  <si>
    <t>Hazard 10</t>
  </si>
  <si>
    <t>Hazard 11</t>
  </si>
  <si>
    <t>Hazard 12</t>
  </si>
  <si>
    <t>RRM 1</t>
  </si>
  <si>
    <t>RRM 2</t>
  </si>
  <si>
    <t>RRM 3</t>
  </si>
  <si>
    <t>RRM 4</t>
  </si>
  <si>
    <t>RRM 5</t>
  </si>
  <si>
    <t>RRM 6</t>
  </si>
  <si>
    <t>RRM 7</t>
  </si>
  <si>
    <t>RRM 8</t>
  </si>
  <si>
    <t>RRM 9</t>
  </si>
  <si>
    <t>RRM 10</t>
  </si>
  <si>
    <t>RRM 11</t>
  </si>
  <si>
    <t>RRM 12</t>
  </si>
  <si>
    <t>Hazard 13</t>
  </si>
  <si>
    <t>Task 13</t>
  </si>
  <si>
    <t>RRM 13</t>
  </si>
  <si>
    <t>RRM 14</t>
  </si>
  <si>
    <t>RRM 15</t>
  </si>
  <si>
    <t>RRM 16</t>
  </si>
  <si>
    <t>RRM 17</t>
  </si>
  <si>
    <t>RRM 18</t>
  </si>
  <si>
    <t>RRM 19</t>
  </si>
  <si>
    <t>RRM 20</t>
  </si>
  <si>
    <t>RRM 21</t>
  </si>
  <si>
    <t>RRM 22</t>
  </si>
  <si>
    <t>RRM 23</t>
  </si>
  <si>
    <t>RRM 24</t>
  </si>
  <si>
    <t>Hazard 14</t>
  </si>
  <si>
    <t>Hazard 15</t>
  </si>
  <si>
    <t>Hazard 16</t>
  </si>
  <si>
    <t>Hazard 17</t>
  </si>
  <si>
    <t>Hazard 18</t>
  </si>
  <si>
    <t>Hazard 19</t>
  </si>
  <si>
    <t>Hazard 20</t>
  </si>
  <si>
    <t>Hazard 21</t>
  </si>
  <si>
    <t>Hazard 22</t>
  </si>
  <si>
    <t>Hazard 23</t>
  </si>
  <si>
    <t>Hazard 24</t>
  </si>
  <si>
    <t>Task 14</t>
  </si>
  <si>
    <t>Task 15</t>
  </si>
  <si>
    <t>Task 16</t>
  </si>
  <si>
    <t>Task 17</t>
  </si>
  <si>
    <t>Task 18</t>
  </si>
  <si>
    <t>Task 19</t>
  </si>
  <si>
    <t>Task 20</t>
  </si>
  <si>
    <t>Task 21</t>
  </si>
  <si>
    <t>Task 22</t>
  </si>
  <si>
    <t>Task 23</t>
  </si>
  <si>
    <t>Task 24</t>
  </si>
  <si>
    <t>Task 25</t>
  </si>
  <si>
    <t>Task 26</t>
  </si>
  <si>
    <t>Task 27</t>
  </si>
  <si>
    <t>Task 28</t>
  </si>
  <si>
    <t>Task 29</t>
  </si>
  <si>
    <t>Task 30</t>
  </si>
  <si>
    <t>Task 31</t>
  </si>
  <si>
    <t>Task 32</t>
  </si>
  <si>
    <t>Task 33</t>
  </si>
  <si>
    <t>Task 34</t>
  </si>
  <si>
    <t>Task 35</t>
  </si>
  <si>
    <t>Task 36</t>
  </si>
  <si>
    <t>Hazard 25</t>
  </si>
  <si>
    <t>Hazard 26</t>
  </si>
  <si>
    <t>Hazard 27</t>
  </si>
  <si>
    <t>Hazard 28</t>
  </si>
  <si>
    <t>Hazard 29</t>
  </si>
  <si>
    <t>Hazard 30</t>
  </si>
  <si>
    <t>Hazard 31</t>
  </si>
  <si>
    <t>Hazard 32</t>
  </si>
  <si>
    <t>Hazard 33</t>
  </si>
  <si>
    <t>Hazard 34</t>
  </si>
  <si>
    <t>Hazard 35</t>
  </si>
  <si>
    <t>Hazard 36</t>
  </si>
  <si>
    <t>RRM 25</t>
  </si>
  <si>
    <t>RRM 26</t>
  </si>
  <si>
    <t>RRM 27</t>
  </si>
  <si>
    <t>RRM 28</t>
  </si>
  <si>
    <t>RRM 29</t>
  </si>
  <si>
    <t>RRM 30</t>
  </si>
  <si>
    <t>RRM 31</t>
  </si>
  <si>
    <t>RRM 32</t>
  </si>
  <si>
    <t>RRM 33</t>
  </si>
  <si>
    <t>RRM 34</t>
  </si>
  <si>
    <t>RRM 35</t>
  </si>
  <si>
    <t>RRM 36</t>
  </si>
  <si>
    <t xml:space="preserve">Robot Starts ___ </t>
  </si>
  <si>
    <t>- Cobot max speed 250mm/s when opperator is nearby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</si>
</sst>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Aptos Narrow"/>
      <family val="2"/>
      <scheme val="minor"/>
    </font>
    <font>
      <sz val="8"/>
      <color theme="1"/>
      <name val="Aptos Narrow"/>
      <family val="2"/>
      <scheme val="minor"/>
    </font>
    <font>
      <sz val="8"/>
      <name val="Aptos Narrow"/>
      <family val="2"/>
      <scheme val="minor"/>
    </font>
    <font>
      <b/>
      <sz val="8"/>
      <color theme="1"/>
      <name val="Aptos Narrow"/>
      <family val="2"/>
      <scheme val="minor"/>
    </font>
    <font>
      <b/>
      <i/>
      <sz val="9"/>
      <color theme="1"/>
      <name val="Aptos Narrow"/>
      <family val="2"/>
      <scheme val="minor"/>
    </font>
    <font>
      <sz val="9"/>
      <color theme="1"/>
      <name val="Aptos Narrow"/>
      <family val="2"/>
      <scheme val="minor"/>
    </font>
    <font>
      <b/>
      <sz val="9"/>
      <color theme="1"/>
      <name val="Aptos Narrow"/>
      <family val="2"/>
      <scheme val="minor"/>
    </font>
  </fonts>
  <fills count="7">
    <fill>
      <patternFill patternType="none"/>
    </fill>
    <fill>
      <patternFill patternType="gray125"/>
    </fill>
    <fill>
      <patternFill patternType="solid">
        <fgColor theme="0" tint="-0.14999847407452621"/>
        <bgColor indexed="64"/>
      </patternFill>
    </fill>
    <fill>
      <patternFill patternType="solid">
        <fgColor rgb="FF92D050"/>
        <bgColor indexed="64"/>
      </patternFill>
    </fill>
    <fill>
      <patternFill patternType="solid">
        <fgColor rgb="FFFFC000"/>
        <bgColor indexed="64"/>
      </patternFill>
    </fill>
    <fill>
      <patternFill patternType="solid">
        <fgColor rgb="FFFFFF00"/>
        <bgColor indexed="64"/>
      </patternFill>
    </fill>
    <fill>
      <patternFill patternType="solid">
        <fgColor rgb="FFFF0000"/>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medium">
        <color indexed="64"/>
      </top>
      <bottom/>
      <diagonal/>
    </border>
    <border>
      <left/>
      <right/>
      <top style="medium">
        <color indexed="64"/>
      </top>
      <bottom style="medium">
        <color indexed="64"/>
      </bottom>
      <diagonal/>
    </border>
    <border>
      <left/>
      <right style="thin">
        <color indexed="64"/>
      </right>
      <top style="medium">
        <color indexed="64"/>
      </top>
      <bottom/>
      <diagonal/>
    </border>
    <border>
      <left style="medium">
        <color indexed="64"/>
      </left>
      <right style="thin">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thin">
        <color indexed="64"/>
      </left>
      <right/>
      <top style="medium">
        <color indexed="64"/>
      </top>
      <bottom/>
      <diagonal/>
    </border>
    <border>
      <left style="medium">
        <color indexed="64"/>
      </left>
      <right/>
      <top style="medium">
        <color indexed="64"/>
      </top>
      <bottom/>
      <diagonal/>
    </border>
  </borders>
  <cellStyleXfs count="1">
    <xf numFmtId="0" fontId="0" fillId="0" borderId="0"/>
  </cellStyleXfs>
  <cellXfs count="71">
    <xf numFmtId="0" fontId="0" fillId="0" borderId="0" xfId="0"/>
    <xf numFmtId="0" fontId="1" fillId="3" borderId="1" xfId="0" applyFont="1" applyFill="1" applyBorder="1"/>
    <xf numFmtId="0" fontId="1" fillId="5" borderId="1" xfId="0" applyFont="1" applyFill="1" applyBorder="1"/>
    <xf numFmtId="0" fontId="1" fillId="4" borderId="1" xfId="0" applyFont="1" applyFill="1" applyBorder="1"/>
    <xf numFmtId="0" fontId="1" fillId="6" borderId="1" xfId="0" applyFont="1" applyFill="1" applyBorder="1"/>
    <xf numFmtId="0" fontId="0" fillId="0" borderId="2" xfId="0" applyBorder="1"/>
    <xf numFmtId="0" fontId="0" fillId="0" borderId="4" xfId="0" applyBorder="1"/>
    <xf numFmtId="0" fontId="0" fillId="0" borderId="6" xfId="0" applyBorder="1"/>
    <xf numFmtId="0" fontId="0" fillId="0" borderId="8" xfId="0" applyBorder="1"/>
    <xf numFmtId="0" fontId="0" fillId="0" borderId="3" xfId="0" applyBorder="1"/>
    <xf numFmtId="0" fontId="1" fillId="2" borderId="3" xfId="0" applyFont="1" applyFill="1" applyBorder="1"/>
    <xf numFmtId="0" fontId="1" fillId="2" borderId="9" xfId="0" applyFont="1" applyFill="1" applyBorder="1"/>
    <xf numFmtId="0" fontId="0" fillId="0" borderId="5" xfId="0" applyBorder="1"/>
    <xf numFmtId="0" fontId="0" fillId="0" borderId="7" xfId="0" applyBorder="1"/>
    <xf numFmtId="0" fontId="1" fillId="0" borderId="0" xfId="0" applyFont="1" applyAlignment="1">
      <alignment horizontal="right"/>
    </xf>
    <xf numFmtId="0" fontId="0" fillId="0" borderId="0" xfId="0" applyAlignment="1">
      <alignment horizontal="center"/>
    </xf>
    <xf numFmtId="0" fontId="4" fillId="0" borderId="0" xfId="0" applyFont="1" applyAlignment="1">
      <alignment horizontal="right" vertical="center"/>
    </xf>
    <xf numFmtId="0" fontId="2" fillId="0" borderId="0" xfId="0" quotePrefix="1" applyFont="1" applyAlignment="1">
      <alignment horizontal="left" vertical="center"/>
    </xf>
    <xf numFmtId="0" fontId="4" fillId="0" borderId="0" xfId="0" applyFont="1" applyAlignment="1">
      <alignment horizontal="left" vertical="center"/>
    </xf>
    <xf numFmtId="0" fontId="2" fillId="0" borderId="0" xfId="0" applyFont="1" applyAlignment="1">
      <alignment horizontal="left" vertical="center"/>
    </xf>
    <xf numFmtId="0" fontId="2" fillId="0" borderId="0" xfId="0" applyFont="1" applyAlignment="1">
      <alignment vertical="center" wrapText="1"/>
    </xf>
    <xf numFmtId="0" fontId="2" fillId="0" borderId="0" xfId="0" applyFont="1" applyAlignment="1">
      <alignment vertical="center"/>
    </xf>
    <xf numFmtId="0" fontId="2" fillId="2" borderId="10" xfId="0" applyFont="1" applyFill="1" applyBorder="1" applyAlignment="1">
      <alignment vertical="center"/>
    </xf>
    <xf numFmtId="0" fontId="2" fillId="0" borderId="12" xfId="0" applyFont="1" applyBorder="1" applyAlignment="1">
      <alignment vertical="center"/>
    </xf>
    <xf numFmtId="0" fontId="2" fillId="0" borderId="12" xfId="0" applyFont="1" applyBorder="1" applyAlignment="1">
      <alignment vertical="center" wrapText="1"/>
    </xf>
    <xf numFmtId="0" fontId="0" fillId="0" borderId="12" xfId="0" applyBorder="1"/>
    <xf numFmtId="0" fontId="5" fillId="0" borderId="0" xfId="0" applyFont="1" applyAlignment="1">
      <alignment horizontal="left"/>
    </xf>
    <xf numFmtId="0" fontId="6" fillId="0" borderId="0" xfId="0" applyFont="1"/>
    <xf numFmtId="0" fontId="7" fillId="0" borderId="0" xfId="0" applyFont="1" applyAlignment="1">
      <alignment horizontal="right"/>
    </xf>
    <xf numFmtId="0" fontId="6" fillId="0" borderId="0" xfId="0" applyFont="1" applyAlignment="1">
      <alignment horizontal="center"/>
    </xf>
    <xf numFmtId="0" fontId="6" fillId="0" borderId="0" xfId="0" applyFont="1" applyAlignment="1">
      <alignment vertical="center" wrapText="1"/>
    </xf>
    <xf numFmtId="0" fontId="6" fillId="0" borderId="15" xfId="0" applyFont="1" applyBorder="1" applyAlignment="1">
      <alignment vertical="center" wrapText="1"/>
    </xf>
    <xf numFmtId="0" fontId="4" fillId="0" borderId="19" xfId="0" applyFont="1" applyBorder="1" applyAlignment="1">
      <alignment horizontal="right" vertical="center"/>
    </xf>
    <xf numFmtId="0" fontId="4" fillId="0" borderId="20" xfId="0" applyFont="1" applyBorder="1" applyAlignment="1">
      <alignment horizontal="left" vertical="center"/>
    </xf>
    <xf numFmtId="0" fontId="2" fillId="0" borderId="20" xfId="0" applyFont="1" applyBorder="1" applyAlignment="1">
      <alignment horizontal="left" vertical="center"/>
    </xf>
    <xf numFmtId="0" fontId="1" fillId="0" borderId="1" xfId="0" applyFont="1" applyBorder="1" applyAlignment="1">
      <alignment horizontal="right"/>
    </xf>
    <xf numFmtId="0" fontId="0" fillId="0" borderId="1" xfId="0" applyBorder="1" applyAlignment="1">
      <alignment horizont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2" fillId="0" borderId="16" xfId="0" applyFont="1" applyBorder="1" applyAlignment="1">
      <alignment horizontal="center" vertical="center"/>
    </xf>
    <xf numFmtId="0" fontId="6" fillId="0" borderId="19" xfId="0" applyFont="1" applyBorder="1" applyAlignment="1">
      <alignment horizontal="center" vertical="center" wrapText="1"/>
    </xf>
    <xf numFmtId="0" fontId="6" fillId="0" borderId="0" xfId="0" applyFont="1" applyAlignment="1">
      <alignment horizontal="center" vertical="center" wrapText="1"/>
    </xf>
    <xf numFmtId="0" fontId="6" fillId="0" borderId="20" xfId="0" applyFont="1" applyBorder="1" applyAlignment="1">
      <alignment horizontal="center" vertical="center" wrapText="1"/>
    </xf>
    <xf numFmtId="0" fontId="6" fillId="0" borderId="21"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22" xfId="0" applyFont="1" applyBorder="1" applyAlignment="1">
      <alignment horizontal="center" vertical="center" wrapText="1"/>
    </xf>
    <xf numFmtId="0" fontId="6" fillId="0" borderId="25" xfId="0" applyFont="1" applyBorder="1" applyAlignment="1">
      <alignment horizontal="center" vertical="center" wrapText="1"/>
    </xf>
    <xf numFmtId="0" fontId="6" fillId="0" borderId="15" xfId="0" applyFont="1" applyBorder="1" applyAlignment="1">
      <alignment horizontal="center" vertical="center" wrapText="1"/>
    </xf>
    <xf numFmtId="0" fontId="6" fillId="0" borderId="23" xfId="0" applyFont="1" applyBorder="1" applyAlignment="1">
      <alignment horizontal="center" vertical="center" wrapText="1"/>
    </xf>
    <xf numFmtId="0" fontId="1" fillId="2" borderId="17"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18" xfId="0" applyFont="1" applyFill="1" applyBorder="1" applyAlignment="1">
      <alignment horizontal="center" vertical="center"/>
    </xf>
    <xf numFmtId="0" fontId="1" fillId="2" borderId="13" xfId="0" applyFont="1" applyFill="1" applyBorder="1" applyAlignment="1">
      <alignment horizontal="center" vertical="center"/>
    </xf>
    <xf numFmtId="0" fontId="1" fillId="2" borderId="14" xfId="0" applyFont="1" applyFill="1" applyBorder="1" applyAlignment="1">
      <alignment horizontal="center" vertical="center"/>
    </xf>
    <xf numFmtId="0" fontId="6" fillId="0" borderId="3" xfId="0" applyFont="1" applyBorder="1" applyAlignment="1">
      <alignment horizontal="center"/>
    </xf>
    <xf numFmtId="0" fontId="6" fillId="0" borderId="9" xfId="0" applyFont="1" applyBorder="1" applyAlignment="1">
      <alignment horizontal="center"/>
    </xf>
    <xf numFmtId="0" fontId="6" fillId="0" borderId="2" xfId="0" applyFont="1" applyBorder="1" applyAlignment="1">
      <alignment horizontal="center"/>
    </xf>
    <xf numFmtId="0" fontId="1" fillId="0" borderId="2" xfId="0" applyFont="1" applyBorder="1" applyAlignment="1">
      <alignment horizontal="right"/>
    </xf>
    <xf numFmtId="0" fontId="6" fillId="0" borderId="0" xfId="0" applyFont="1" applyAlignment="1">
      <alignment horizontal="center" vertical="center"/>
    </xf>
    <xf numFmtId="0" fontId="0" fillId="0" borderId="0" xfId="0" applyAlignment="1">
      <alignment horizontal="center" vertical="center"/>
    </xf>
    <xf numFmtId="0" fontId="6" fillId="0" borderId="0" xfId="0" quotePrefix="1" applyFont="1" applyAlignment="1">
      <alignment horizontal="left" vertical="top" wrapText="1"/>
    </xf>
    <xf numFmtId="0" fontId="2" fillId="0" borderId="0" xfId="0" applyFont="1" applyAlignment="1">
      <alignment horizontal="center" vertical="center" wrapText="1"/>
    </xf>
    <xf numFmtId="0" fontId="1" fillId="6" borderId="1" xfId="0" applyFont="1" applyFill="1" applyBorder="1" applyAlignment="1">
      <alignment horizontal="center"/>
    </xf>
    <xf numFmtId="0" fontId="1" fillId="2" borderId="3" xfId="0" applyFont="1" applyFill="1" applyBorder="1" applyAlignment="1">
      <alignment horizontal="center"/>
    </xf>
    <xf numFmtId="0" fontId="1" fillId="2" borderId="9" xfId="0" applyFont="1" applyFill="1" applyBorder="1" applyAlignment="1">
      <alignment horizontal="center"/>
    </xf>
    <xf numFmtId="0" fontId="1" fillId="2" borderId="1" xfId="0" applyFont="1" applyFill="1" applyBorder="1" applyAlignment="1">
      <alignment horizontal="center"/>
    </xf>
    <xf numFmtId="0" fontId="1" fillId="3" borderId="1" xfId="0" applyFont="1" applyFill="1" applyBorder="1" applyAlignment="1">
      <alignment horizontal="center"/>
    </xf>
    <xf numFmtId="0" fontId="1" fillId="5" borderId="1" xfId="0" applyFont="1" applyFill="1" applyBorder="1" applyAlignment="1">
      <alignment horizontal="center"/>
    </xf>
    <xf numFmtId="0" fontId="1" fillId="4" borderId="1" xfId="0" applyFont="1" applyFill="1" applyBorder="1" applyAlignment="1">
      <alignment horizontal="center"/>
    </xf>
    <xf numFmtId="0" fontId="6" fillId="0" borderId="0" xfId="0" applyFont="1" applyAlignment="1"/>
    <xf numFmtId="0" fontId="6" fillId="0" borderId="0" xfId="0" applyFont="1" applyAlignment="1">
      <alignment horizontal="center" wrapText="1"/>
    </xf>
  </cellXfs>
  <cellStyles count="1">
    <cellStyle name="Normal" xfId="0" builtinId="0"/>
  </cellStyles>
  <dxfs count="40">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alignment horizontal="general" vertical="bottom" textRotation="0" wrapText="0" indent="0" justifyLastLine="0" shrinkToFit="0" readingOrder="0"/>
      <border diagonalUp="0" diagonalDown="0">
        <left style="thin">
          <color indexed="64"/>
        </left>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top style="thin">
          <color indexed="64"/>
        </top>
        <bottom style="thin">
          <color indexed="64"/>
        </bottom>
      </border>
    </dxf>
    <dxf>
      <border outline="0">
        <bottom style="thin">
          <color indexed="64"/>
        </bottom>
      </border>
    </dxf>
    <dxf>
      <alignment horizontal="general" vertical="bottom" textRotation="0" wrapText="0" indent="0" justifyLastLine="0" shrinkToFit="0" readingOrder="0"/>
      <border diagonalUp="0" diagonalDown="0">
        <left style="thin">
          <color indexed="64"/>
        </left>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top style="thin">
          <color indexed="64"/>
        </top>
        <bottom style="thin">
          <color indexed="64"/>
        </bottom>
      </border>
    </dxf>
    <dxf>
      <border outline="0">
        <bottom style="thin">
          <color indexed="64"/>
        </bottom>
      </border>
    </dxf>
    <dxf>
      <alignment horizontal="general" vertical="bottom" textRotation="0" wrapText="0" indent="0" justifyLastLine="0" shrinkToFit="0" readingOrder="0"/>
      <border diagonalUp="0" diagonalDown="0">
        <left style="thin">
          <color indexed="64"/>
        </left>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top style="thin">
          <color indexed="64"/>
        </top>
        <bottom style="thin">
          <color indexed="64"/>
        </bottom>
      </border>
    </dxf>
    <dxf>
      <border outline="0">
        <bottom style="thin">
          <color indexed="64"/>
        </bottom>
      </border>
    </dxf>
    <dxf>
      <alignment horizontal="general" vertical="bottom" textRotation="0" wrapText="0" indent="0" justifyLastLine="0" shrinkToFit="0" readingOrder="0"/>
      <border diagonalUp="0" diagonalDown="0">
        <left style="thin">
          <color indexed="64"/>
        </left>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top style="thin">
          <color indexed="64"/>
        </top>
        <bottom style="thin">
          <color indexed="64"/>
        </bottom>
      </border>
    </dxf>
    <dxf>
      <border outline="0">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Assessmen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essment"/>
    </sheetNames>
    <sheetDataSet>
      <sheetData sheetId="0"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DE941E2-F83F-4111-AB27-339E9D37D2A2}" name="LO" displayName="LO" ref="A2:B10" totalsRowShown="0" headerRowBorderDxfId="39" tableBorderDxfId="38" totalsRowBorderDxfId="37">
  <autoFilter ref="A2:B10" xr:uid="{BDE941E2-F83F-4111-AB27-339E9D37D2A2}"/>
  <tableColumns count="2">
    <tableColumn id="1" xr3:uid="{8AD4A356-3A68-4624-BA65-3371CCF9957C}" name="Value" dataDxfId="36"/>
    <tableColumn id="2" xr3:uid="{FD40B9EC-2850-4A2D-AA34-D3681127F65A}" name="Likelihood" dataDxfId="3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E649EF7-1BCA-4524-B4D3-ABC91FABF806}" name="FE" displayName="FE" ref="A13:B19" totalsRowShown="0" headerRowBorderDxfId="34" tableBorderDxfId="33" totalsRowBorderDxfId="32">
  <autoFilter ref="A13:B19" xr:uid="{6E649EF7-1BCA-4524-B4D3-ABC91FABF806}"/>
  <tableColumns count="2">
    <tableColumn id="1" xr3:uid="{C24CDC20-4334-47E5-BD6E-C09BD9FC9316}" name="Value" dataDxfId="31"/>
    <tableColumn id="2" xr3:uid="{53277793-CF86-4F2B-9EBD-19A43D55EF3A}" name="Frequency" dataDxfId="3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256F7D2-FE23-42E8-BADC-B8479D605286}" name="DPH" displayName="DPH" ref="A22:B29" totalsRowShown="0" headerRowBorderDxfId="29" tableBorderDxfId="28" totalsRowBorderDxfId="27">
  <autoFilter ref="A22:B29" xr:uid="{8256F7D2-FE23-42E8-BADC-B8479D605286}"/>
  <tableColumns count="2">
    <tableColumn id="1" xr3:uid="{E7CD67E9-4593-496E-BC8C-844F0BBF2B99}" name="Value" dataDxfId="26"/>
    <tableColumn id="2" xr3:uid="{CB5EC0DF-3714-403F-8AC1-1AAEF8939E9B}" name="Severity" dataDxfId="2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1199C1-DE9E-4B07-A76D-55B77FC9B89B}" name="NP" displayName="NP" ref="A32:B37" totalsRowShown="0" headerRowBorderDxfId="24" tableBorderDxfId="23" totalsRowBorderDxfId="22">
  <autoFilter ref="A32:B37" xr:uid="{321199C1-DE9E-4B07-A76D-55B77FC9B89B}"/>
  <tableColumns count="2">
    <tableColumn id="1" xr3:uid="{EF68E096-6A54-4C89-9BBE-98DB35FB825F}" name="Value" dataDxfId="21"/>
    <tableColumn id="2" xr3:uid="{2AE971AD-CD25-409F-BF29-31685075F7EF}" name="At Risk" dataDxfId="2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5AFBE-2A3B-4820-89EC-6478B2855739}">
  <sheetPr codeName="Sheet1">
    <pageSetUpPr fitToPage="1"/>
  </sheetPr>
  <dimension ref="A2:AD336"/>
  <sheetViews>
    <sheetView tabSelected="1" view="pageLayout" topLeftCell="A33" zoomScale="55" zoomScaleNormal="85" zoomScalePageLayoutView="55" workbookViewId="0">
      <selection activeCell="I67" sqref="I67"/>
    </sheetView>
  </sheetViews>
  <sheetFormatPr defaultColWidth="8.5546875" defaultRowHeight="14.4" x14ac:dyDescent="0.3"/>
  <cols>
    <col min="1" max="1" width="25.5546875" style="27" customWidth="1"/>
    <col min="2" max="6" width="12.77734375" style="27" customWidth="1"/>
    <col min="7" max="9" width="9.5546875" customWidth="1"/>
    <col min="10" max="12" width="12.77734375" style="27" customWidth="1"/>
    <col min="13" max="15" width="9.5546875" customWidth="1"/>
    <col min="16" max="16" width="25.5546875" customWidth="1"/>
    <col min="17" max="28" width="8" customWidth="1"/>
  </cols>
  <sheetData>
    <row r="2" spans="1:15" x14ac:dyDescent="0.3">
      <c r="B2" s="35" t="s">
        <v>1</v>
      </c>
      <c r="C2" s="35"/>
      <c r="D2" s="36"/>
      <c r="E2" s="36"/>
      <c r="F2" s="36"/>
      <c r="G2" s="35" t="s">
        <v>3</v>
      </c>
      <c r="H2" s="35"/>
      <c r="I2" s="36"/>
      <c r="J2" s="36"/>
      <c r="K2" s="35" t="s">
        <v>49</v>
      </c>
      <c r="L2" s="35"/>
      <c r="M2" s="36"/>
      <c r="N2" s="36"/>
      <c r="O2" s="36"/>
    </row>
    <row r="3" spans="1:15" x14ac:dyDescent="0.3">
      <c r="B3" s="57" t="s">
        <v>0</v>
      </c>
      <c r="C3" s="35"/>
      <c r="D3" s="36"/>
      <c r="E3" s="36"/>
      <c r="F3" s="36"/>
      <c r="G3" s="57" t="s">
        <v>2</v>
      </c>
      <c r="H3" s="35"/>
      <c r="I3" s="36"/>
      <c r="J3" s="36"/>
    </row>
    <row r="4" spans="1:15" x14ac:dyDescent="0.3">
      <c r="B4" s="35" t="s">
        <v>54</v>
      </c>
      <c r="C4" s="35"/>
      <c r="D4" s="54"/>
      <c r="E4" s="55"/>
      <c r="F4" s="55"/>
      <c r="G4" s="55"/>
      <c r="H4" s="55"/>
      <c r="I4" s="55"/>
      <c r="J4" s="56"/>
    </row>
    <row r="5" spans="1:15" ht="15" thickBot="1" x14ac:dyDescent="0.35">
      <c r="B5" s="26" t="s">
        <v>170</v>
      </c>
      <c r="C5" s="28"/>
      <c r="D5" s="29"/>
      <c r="E5" s="29"/>
      <c r="F5" s="29"/>
      <c r="G5" s="14"/>
      <c r="H5" s="14"/>
      <c r="I5" s="15"/>
      <c r="J5" s="29"/>
    </row>
    <row r="6" spans="1:15" ht="14.55" customHeight="1" x14ac:dyDescent="0.3">
      <c r="B6" s="51" t="s">
        <v>45</v>
      </c>
      <c r="C6" s="52"/>
      <c r="D6" s="53"/>
      <c r="E6" s="49" t="s">
        <v>60</v>
      </c>
      <c r="F6" s="50"/>
      <c r="G6" s="51" t="s">
        <v>47</v>
      </c>
      <c r="H6" s="52"/>
      <c r="I6" s="50"/>
      <c r="J6" s="51" t="s">
        <v>50</v>
      </c>
      <c r="K6" s="52"/>
      <c r="L6" s="53"/>
      <c r="M6" s="51" t="s">
        <v>44</v>
      </c>
      <c r="N6" s="52"/>
      <c r="O6" s="53"/>
    </row>
    <row r="7" spans="1:15" ht="9" customHeight="1" x14ac:dyDescent="0.3">
      <c r="A7" s="58">
        <v>1</v>
      </c>
      <c r="B7" s="40" t="s">
        <v>62</v>
      </c>
      <c r="C7" s="41"/>
      <c r="D7" s="42"/>
      <c r="E7" s="40" t="s">
        <v>74</v>
      </c>
      <c r="F7" s="42"/>
      <c r="G7" s="32" t="s">
        <v>42</v>
      </c>
      <c r="H7" s="17"/>
      <c r="I7" s="18"/>
      <c r="J7" s="40" t="s">
        <v>86</v>
      </c>
      <c r="K7" s="41"/>
      <c r="L7" s="42"/>
      <c r="M7" s="32" t="s">
        <v>42</v>
      </c>
      <c r="N7" s="17"/>
      <c r="O7" s="33"/>
    </row>
    <row r="8" spans="1:15" ht="9" customHeight="1" x14ac:dyDescent="0.3">
      <c r="A8" s="58"/>
      <c r="B8" s="40"/>
      <c r="C8" s="41"/>
      <c r="D8" s="42"/>
      <c r="E8" s="40"/>
      <c r="F8" s="42"/>
      <c r="G8" s="32" t="s">
        <v>33</v>
      </c>
      <c r="H8" s="19"/>
      <c r="I8" s="19"/>
      <c r="J8" s="40"/>
      <c r="K8" s="41"/>
      <c r="L8" s="42"/>
      <c r="M8" s="32" t="s">
        <v>33</v>
      </c>
      <c r="N8" s="19"/>
      <c r="O8" s="34"/>
    </row>
    <row r="9" spans="1:15" ht="9" customHeight="1" x14ac:dyDescent="0.3">
      <c r="A9" s="58"/>
      <c r="B9" s="40"/>
      <c r="C9" s="41"/>
      <c r="D9" s="42"/>
      <c r="E9" s="40"/>
      <c r="F9" s="42"/>
      <c r="G9" s="32" t="s">
        <v>34</v>
      </c>
      <c r="H9" s="19"/>
      <c r="I9" s="19"/>
      <c r="J9" s="40"/>
      <c r="K9" s="41"/>
      <c r="L9" s="42"/>
      <c r="M9" s="32" t="s">
        <v>34</v>
      </c>
      <c r="N9" s="19"/>
      <c r="O9" s="34"/>
    </row>
    <row r="10" spans="1:15" ht="9" customHeight="1" thickBot="1" x14ac:dyDescent="0.35">
      <c r="A10" s="58"/>
      <c r="B10" s="40"/>
      <c r="C10" s="41"/>
      <c r="D10" s="42"/>
      <c r="E10" s="40"/>
      <c r="F10" s="42"/>
      <c r="G10" s="32" t="s">
        <v>43</v>
      </c>
      <c r="H10" s="19"/>
      <c r="I10" s="19"/>
      <c r="J10" s="40"/>
      <c r="K10" s="41"/>
      <c r="L10" s="42"/>
      <c r="M10" s="32" t="s">
        <v>43</v>
      </c>
      <c r="N10" s="19"/>
      <c r="O10" s="34"/>
    </row>
    <row r="11" spans="1:15" ht="9" customHeight="1" thickBot="1" x14ac:dyDescent="0.35">
      <c r="A11" s="58"/>
      <c r="B11" s="43"/>
      <c r="C11" s="44"/>
      <c r="D11" s="45"/>
      <c r="E11" s="43"/>
      <c r="F11" s="45"/>
      <c r="G11" s="22" t="s">
        <v>46</v>
      </c>
      <c r="H11" s="37" t="str">
        <f ca="1">IF(OR(ISNA(_xlfn.XLOOKUP(INDIRECT("R[-4]C", 0), LO[Likelihood], LO[Value])),ISNA(_xlfn.XLOOKUP(INDIRECT("R[-3]C", 0), FE[Frequency], FE[Value])),ISNA(_xlfn.XLOOKUP(INDIRECT("R[-2]C", 0), DPH[Severity], DPH[Value])),ISNA(_xlfn.XLOOKUP(INDIRECT("R[-1]C", 0), NP[At Risk], NP[Value]))),"PENDING",PRODUCT(_xlfn.XLOOKUP(INDIRECT("R[-4]C", 0), LO[Likelihood], LO[Value]),_xlfn.XLOOKUP(INDIRECT("R[-3]C", 0), FE[Frequency], FE[Value]),_xlfn.XLOOKUP(INDIRECT("R[-2]C", 0), DPH[Severity], DPH[Value]),_xlfn.XLOOKUP(INDIRECT("R[-1]C", 0), NP[At Risk], NP[Value])))</f>
        <v>PENDING</v>
      </c>
      <c r="I11" s="39"/>
      <c r="J11" s="43"/>
      <c r="K11" s="44"/>
      <c r="L11" s="45"/>
      <c r="M11" s="22" t="s">
        <v>46</v>
      </c>
      <c r="N11" s="37" t="str">
        <f ca="1">IF(OR(ISNA(_xlfn.XLOOKUP(INDIRECT("R[-4]C", 0), LO[Likelihood], LO[Value])),ISNA(_xlfn.XLOOKUP(INDIRECT("R[-3]C", 0), FE[Frequency], FE[Value])),ISNA(_xlfn.XLOOKUP(INDIRECT("R[-2]C", 0), DPH[Severity], DPH[Value])),ISNA(_xlfn.XLOOKUP(INDIRECT("R[-1]C", 0), NP[At Risk], NP[Value]))),"PENDING",PRODUCT(_xlfn.XLOOKUP(INDIRECT("R[-4]C", 0), LO[Likelihood], LO[Value]),_xlfn.XLOOKUP(INDIRECT("R[-3]C", 0), FE[Frequency], FE[Value]),_xlfn.XLOOKUP(INDIRECT("R[-2]C", 0), DPH[Severity], DPH[Value]),_xlfn.XLOOKUP(INDIRECT("R[-1]C", 0), NP[At Risk], NP[Value])))</f>
        <v>PENDING</v>
      </c>
      <c r="O11" s="38"/>
    </row>
    <row r="12" spans="1:15" ht="9" customHeight="1" x14ac:dyDescent="0.3">
      <c r="A12" s="58">
        <v>2</v>
      </c>
      <c r="B12" s="46" t="s">
        <v>63</v>
      </c>
      <c r="C12" s="47"/>
      <c r="D12" s="48"/>
      <c r="E12" s="46" t="s">
        <v>75</v>
      </c>
      <c r="F12" s="48"/>
      <c r="G12" s="32" t="s">
        <v>42</v>
      </c>
      <c r="H12" s="17"/>
      <c r="I12" s="18"/>
      <c r="J12" s="46" t="s">
        <v>87</v>
      </c>
      <c r="K12" s="47"/>
      <c r="L12" s="48"/>
      <c r="M12" s="32" t="s">
        <v>42</v>
      </c>
      <c r="N12" s="17"/>
      <c r="O12" s="33"/>
    </row>
    <row r="13" spans="1:15" ht="9" customHeight="1" x14ac:dyDescent="0.3">
      <c r="A13" s="58"/>
      <c r="B13" s="40"/>
      <c r="C13" s="41"/>
      <c r="D13" s="42"/>
      <c r="E13" s="40"/>
      <c r="F13" s="42"/>
      <c r="G13" s="32" t="s">
        <v>33</v>
      </c>
      <c r="H13" s="19"/>
      <c r="I13" s="19"/>
      <c r="J13" s="40"/>
      <c r="K13" s="41"/>
      <c r="L13" s="42"/>
      <c r="M13" s="32" t="s">
        <v>33</v>
      </c>
      <c r="N13" s="19"/>
      <c r="O13" s="34"/>
    </row>
    <row r="14" spans="1:15" ht="9" customHeight="1" x14ac:dyDescent="0.3">
      <c r="A14" s="58"/>
      <c r="B14" s="40"/>
      <c r="C14" s="41"/>
      <c r="D14" s="42"/>
      <c r="E14" s="40"/>
      <c r="F14" s="42"/>
      <c r="G14" s="32" t="s">
        <v>34</v>
      </c>
      <c r="H14" s="19"/>
      <c r="I14" s="19"/>
      <c r="J14" s="40"/>
      <c r="K14" s="41"/>
      <c r="L14" s="42"/>
      <c r="M14" s="32" t="s">
        <v>34</v>
      </c>
      <c r="N14" s="19"/>
      <c r="O14" s="34"/>
    </row>
    <row r="15" spans="1:15" ht="9" customHeight="1" thickBot="1" x14ac:dyDescent="0.35">
      <c r="A15" s="58"/>
      <c r="B15" s="40"/>
      <c r="C15" s="41"/>
      <c r="D15" s="42"/>
      <c r="E15" s="40"/>
      <c r="F15" s="42"/>
      <c r="G15" s="32" t="s">
        <v>43</v>
      </c>
      <c r="H15" s="19"/>
      <c r="I15" s="19"/>
      <c r="J15" s="40"/>
      <c r="K15" s="41"/>
      <c r="L15" s="42"/>
      <c r="M15" s="32" t="s">
        <v>43</v>
      </c>
      <c r="N15" s="19"/>
      <c r="O15" s="34"/>
    </row>
    <row r="16" spans="1:15" ht="9" customHeight="1" thickBot="1" x14ac:dyDescent="0.35">
      <c r="A16" s="58"/>
      <c r="B16" s="43"/>
      <c r="C16" s="44"/>
      <c r="D16" s="45"/>
      <c r="E16" s="43"/>
      <c r="F16" s="45"/>
      <c r="G16" s="22" t="s">
        <v>46</v>
      </c>
      <c r="H16" s="37" t="str">
        <f ca="1">IF(OR(ISNA(_xlfn.XLOOKUP(INDIRECT("R[-4]C", 0), LO[Likelihood], LO[Value])),ISNA(_xlfn.XLOOKUP(INDIRECT("R[-3]C", 0), FE[Frequency], FE[Value])),ISNA(_xlfn.XLOOKUP(INDIRECT("R[-2]C", 0), DPH[Severity], DPH[Value])),ISNA(_xlfn.XLOOKUP(INDIRECT("R[-1]C", 0), NP[At Risk], NP[Value]))),"PENDING",PRODUCT(_xlfn.XLOOKUP(INDIRECT("R[-4]C", 0), LO[Likelihood], LO[Value]),_xlfn.XLOOKUP(INDIRECT("R[-3]C", 0), FE[Frequency], FE[Value]),_xlfn.XLOOKUP(INDIRECT("R[-2]C", 0), DPH[Severity], DPH[Value]),_xlfn.XLOOKUP(INDIRECT("R[-1]C", 0), NP[At Risk], NP[Value])))</f>
        <v>PENDING</v>
      </c>
      <c r="I16" s="39"/>
      <c r="J16" s="43"/>
      <c r="K16" s="44"/>
      <c r="L16" s="45"/>
      <c r="M16" s="22" t="s">
        <v>46</v>
      </c>
      <c r="N16" s="37" t="str">
        <f ca="1">IF(OR(ISNA(_xlfn.XLOOKUP(INDIRECT("R[-4]C", 0), LO[Likelihood], LO[Value])),ISNA(_xlfn.XLOOKUP(INDIRECT("R[-3]C", 0), FE[Frequency], FE[Value])),ISNA(_xlfn.XLOOKUP(INDIRECT("R[-2]C", 0), DPH[Severity], DPH[Value])),ISNA(_xlfn.XLOOKUP(INDIRECT("R[-1]C", 0), NP[At Risk], NP[Value]))),"PENDING",PRODUCT(_xlfn.XLOOKUP(INDIRECT("R[-4]C", 0), LO[Likelihood], LO[Value]),_xlfn.XLOOKUP(INDIRECT("R[-3]C", 0), FE[Frequency], FE[Value]),_xlfn.XLOOKUP(INDIRECT("R[-2]C", 0), DPH[Severity], DPH[Value]),_xlfn.XLOOKUP(INDIRECT("R[-1]C", 0), NP[At Risk], NP[Value])))</f>
        <v>PENDING</v>
      </c>
      <c r="O16" s="38"/>
    </row>
    <row r="17" spans="1:15" ht="9" customHeight="1" x14ac:dyDescent="0.3">
      <c r="A17" s="58">
        <v>3</v>
      </c>
      <c r="B17" s="46" t="s">
        <v>64</v>
      </c>
      <c r="C17" s="47"/>
      <c r="D17" s="48"/>
      <c r="E17" s="40" t="s">
        <v>76</v>
      </c>
      <c r="F17" s="42"/>
      <c r="G17" s="32" t="s">
        <v>42</v>
      </c>
      <c r="H17" s="17"/>
      <c r="I17" s="18"/>
      <c r="J17" s="40" t="s">
        <v>88</v>
      </c>
      <c r="K17" s="41"/>
      <c r="L17" s="42"/>
      <c r="M17" s="32" t="s">
        <v>42</v>
      </c>
      <c r="N17" s="17"/>
      <c r="O17" s="33"/>
    </row>
    <row r="18" spans="1:15" ht="9" customHeight="1" x14ac:dyDescent="0.3">
      <c r="A18" s="58"/>
      <c r="B18" s="40"/>
      <c r="C18" s="41"/>
      <c r="D18" s="42"/>
      <c r="E18" s="40"/>
      <c r="F18" s="42"/>
      <c r="G18" s="32" t="s">
        <v>33</v>
      </c>
      <c r="H18" s="19"/>
      <c r="I18" s="19"/>
      <c r="J18" s="40"/>
      <c r="K18" s="41"/>
      <c r="L18" s="42"/>
      <c r="M18" s="32" t="s">
        <v>33</v>
      </c>
      <c r="N18" s="19"/>
      <c r="O18" s="34"/>
    </row>
    <row r="19" spans="1:15" ht="9" customHeight="1" x14ac:dyDescent="0.3">
      <c r="A19" s="58"/>
      <c r="B19" s="40"/>
      <c r="C19" s="41"/>
      <c r="D19" s="42"/>
      <c r="E19" s="40"/>
      <c r="F19" s="42"/>
      <c r="G19" s="32" t="s">
        <v>34</v>
      </c>
      <c r="H19" s="19"/>
      <c r="I19" s="19"/>
      <c r="J19" s="40"/>
      <c r="K19" s="41"/>
      <c r="L19" s="42"/>
      <c r="M19" s="32" t="s">
        <v>34</v>
      </c>
      <c r="N19" s="19"/>
      <c r="O19" s="34"/>
    </row>
    <row r="20" spans="1:15" ht="9" customHeight="1" thickBot="1" x14ac:dyDescent="0.35">
      <c r="A20" s="58"/>
      <c r="B20" s="40"/>
      <c r="C20" s="41"/>
      <c r="D20" s="42"/>
      <c r="E20" s="40"/>
      <c r="F20" s="42"/>
      <c r="G20" s="32" t="s">
        <v>43</v>
      </c>
      <c r="H20" s="19"/>
      <c r="I20" s="19"/>
      <c r="J20" s="40"/>
      <c r="K20" s="41"/>
      <c r="L20" s="42"/>
      <c r="M20" s="32" t="s">
        <v>43</v>
      </c>
      <c r="N20" s="19"/>
      <c r="O20" s="34"/>
    </row>
    <row r="21" spans="1:15" ht="9" customHeight="1" thickBot="1" x14ac:dyDescent="0.35">
      <c r="A21" s="58"/>
      <c r="B21" s="43"/>
      <c r="C21" s="44"/>
      <c r="D21" s="45"/>
      <c r="E21" s="43"/>
      <c r="F21" s="45"/>
      <c r="G21" s="22" t="s">
        <v>46</v>
      </c>
      <c r="H21" s="37" t="str">
        <f ca="1">IF(OR(ISNA(_xlfn.XLOOKUP(INDIRECT("R[-4]C", 0), LO[Likelihood], LO[Value])),ISNA(_xlfn.XLOOKUP(INDIRECT("R[-3]C", 0), FE[Frequency], FE[Value])),ISNA(_xlfn.XLOOKUP(INDIRECT("R[-2]C", 0), DPH[Severity], DPH[Value])),ISNA(_xlfn.XLOOKUP(INDIRECT("R[-1]C", 0), NP[At Risk], NP[Value]))),"PENDING",PRODUCT(_xlfn.XLOOKUP(INDIRECT("R[-4]C", 0), LO[Likelihood], LO[Value]),_xlfn.XLOOKUP(INDIRECT("R[-3]C", 0), FE[Frequency], FE[Value]),_xlfn.XLOOKUP(INDIRECT("R[-2]C", 0), DPH[Severity], DPH[Value]),_xlfn.XLOOKUP(INDIRECT("R[-1]C", 0), NP[At Risk], NP[Value])))</f>
        <v>PENDING</v>
      </c>
      <c r="I21" s="39"/>
      <c r="J21" s="43"/>
      <c r="K21" s="44"/>
      <c r="L21" s="45"/>
      <c r="M21" s="22" t="s">
        <v>46</v>
      </c>
      <c r="N21" s="37" t="str">
        <f ca="1">IF(OR(ISNA(_xlfn.XLOOKUP(INDIRECT("R[-4]C", 0), LO[Likelihood], LO[Value])),ISNA(_xlfn.XLOOKUP(INDIRECT("R[-3]C", 0), FE[Frequency], FE[Value])),ISNA(_xlfn.XLOOKUP(INDIRECT("R[-2]C", 0), DPH[Severity], DPH[Value])),ISNA(_xlfn.XLOOKUP(INDIRECT("R[-1]C", 0), NP[At Risk], NP[Value]))),"PENDING",PRODUCT(_xlfn.XLOOKUP(INDIRECT("R[-4]C", 0), LO[Likelihood], LO[Value]),_xlfn.XLOOKUP(INDIRECT("R[-3]C", 0), FE[Frequency], FE[Value]),_xlfn.XLOOKUP(INDIRECT("R[-2]C", 0), DPH[Severity], DPH[Value]),_xlfn.XLOOKUP(INDIRECT("R[-1]C", 0), NP[At Risk], NP[Value])))</f>
        <v>PENDING</v>
      </c>
      <c r="O21" s="38"/>
    </row>
    <row r="22" spans="1:15" ht="9" customHeight="1" x14ac:dyDescent="0.3">
      <c r="A22" s="58">
        <v>4</v>
      </c>
      <c r="B22" s="40" t="s">
        <v>65</v>
      </c>
      <c r="C22" s="41"/>
      <c r="D22" s="42"/>
      <c r="E22" s="46" t="s">
        <v>77</v>
      </c>
      <c r="F22" s="48"/>
      <c r="G22" s="32" t="s">
        <v>42</v>
      </c>
      <c r="H22" s="17"/>
      <c r="I22" s="18"/>
      <c r="J22" s="46" t="s">
        <v>89</v>
      </c>
      <c r="K22" s="47"/>
      <c r="L22" s="48"/>
      <c r="M22" s="32" t="s">
        <v>42</v>
      </c>
      <c r="N22" s="17"/>
      <c r="O22" s="33"/>
    </row>
    <row r="23" spans="1:15" ht="9" customHeight="1" x14ac:dyDescent="0.3">
      <c r="A23" s="58"/>
      <c r="B23" s="40"/>
      <c r="C23" s="41"/>
      <c r="D23" s="42"/>
      <c r="E23" s="40"/>
      <c r="F23" s="42"/>
      <c r="G23" s="32" t="s">
        <v>33</v>
      </c>
      <c r="H23" s="19"/>
      <c r="I23" s="19"/>
      <c r="J23" s="40"/>
      <c r="K23" s="41"/>
      <c r="L23" s="42"/>
      <c r="M23" s="32" t="s">
        <v>33</v>
      </c>
      <c r="N23" s="19"/>
      <c r="O23" s="34"/>
    </row>
    <row r="24" spans="1:15" ht="9" customHeight="1" x14ac:dyDescent="0.3">
      <c r="A24" s="58"/>
      <c r="B24" s="40"/>
      <c r="C24" s="41"/>
      <c r="D24" s="42"/>
      <c r="E24" s="40"/>
      <c r="F24" s="42"/>
      <c r="G24" s="32" t="s">
        <v>34</v>
      </c>
      <c r="H24" s="19"/>
      <c r="I24" s="19"/>
      <c r="J24" s="40"/>
      <c r="K24" s="41"/>
      <c r="L24" s="42"/>
      <c r="M24" s="32" t="s">
        <v>34</v>
      </c>
      <c r="N24" s="19"/>
      <c r="O24" s="34"/>
    </row>
    <row r="25" spans="1:15" ht="9" customHeight="1" thickBot="1" x14ac:dyDescent="0.35">
      <c r="A25" s="58"/>
      <c r="B25" s="40"/>
      <c r="C25" s="41"/>
      <c r="D25" s="42"/>
      <c r="E25" s="40"/>
      <c r="F25" s="42"/>
      <c r="G25" s="32" t="s">
        <v>43</v>
      </c>
      <c r="H25" s="19"/>
      <c r="I25" s="19"/>
      <c r="J25" s="40"/>
      <c r="K25" s="41"/>
      <c r="L25" s="42"/>
      <c r="M25" s="32" t="s">
        <v>43</v>
      </c>
      <c r="N25" s="19"/>
      <c r="O25" s="34"/>
    </row>
    <row r="26" spans="1:15" ht="9" customHeight="1" thickBot="1" x14ac:dyDescent="0.35">
      <c r="A26" s="58"/>
      <c r="B26" s="43"/>
      <c r="C26" s="44"/>
      <c r="D26" s="45"/>
      <c r="E26" s="43"/>
      <c r="F26" s="45"/>
      <c r="G26" s="22" t="s">
        <v>46</v>
      </c>
      <c r="H26" s="37" t="str">
        <f ca="1">IF(OR(ISNA(_xlfn.XLOOKUP(INDIRECT("R[-4]C", 0), LO[Likelihood], LO[Value])),ISNA(_xlfn.XLOOKUP(INDIRECT("R[-3]C", 0), FE[Frequency], FE[Value])),ISNA(_xlfn.XLOOKUP(INDIRECT("R[-2]C", 0), DPH[Severity], DPH[Value])),ISNA(_xlfn.XLOOKUP(INDIRECT("R[-1]C", 0), NP[At Risk], NP[Value]))),"PENDING",PRODUCT(_xlfn.XLOOKUP(INDIRECT("R[-4]C", 0), LO[Likelihood], LO[Value]),_xlfn.XLOOKUP(INDIRECT("R[-3]C", 0), FE[Frequency], FE[Value]),_xlfn.XLOOKUP(INDIRECT("R[-2]C", 0), DPH[Severity], DPH[Value]),_xlfn.XLOOKUP(INDIRECT("R[-1]C", 0), NP[At Risk], NP[Value])))</f>
        <v>PENDING</v>
      </c>
      <c r="I26" s="39"/>
      <c r="J26" s="43"/>
      <c r="K26" s="44"/>
      <c r="L26" s="45"/>
      <c r="M26" s="22" t="s">
        <v>46</v>
      </c>
      <c r="N26" s="37" t="str">
        <f ca="1">IF(OR(ISNA(_xlfn.XLOOKUP(INDIRECT("R[-4]C", 0), LO[Likelihood], LO[Value])),ISNA(_xlfn.XLOOKUP(INDIRECT("R[-3]C", 0), FE[Frequency], FE[Value])),ISNA(_xlfn.XLOOKUP(INDIRECT("R[-2]C", 0), DPH[Severity], DPH[Value])),ISNA(_xlfn.XLOOKUP(INDIRECT("R[-1]C", 0), NP[At Risk], NP[Value]))),"PENDING",PRODUCT(_xlfn.XLOOKUP(INDIRECT("R[-4]C", 0), LO[Likelihood], LO[Value]),_xlfn.XLOOKUP(INDIRECT("R[-3]C", 0), FE[Frequency], FE[Value]),_xlfn.XLOOKUP(INDIRECT("R[-2]C", 0), DPH[Severity], DPH[Value]),_xlfn.XLOOKUP(INDIRECT("R[-1]C", 0), NP[At Risk], NP[Value])))</f>
        <v>PENDING</v>
      </c>
      <c r="O26" s="38"/>
    </row>
    <row r="27" spans="1:15" ht="9" customHeight="1" x14ac:dyDescent="0.3">
      <c r="A27" s="58">
        <v>5</v>
      </c>
      <c r="B27" s="46" t="s">
        <v>66</v>
      </c>
      <c r="C27" s="47"/>
      <c r="D27" s="48"/>
      <c r="E27" s="40" t="s">
        <v>78</v>
      </c>
      <c r="F27" s="42"/>
      <c r="G27" s="32" t="s">
        <v>42</v>
      </c>
      <c r="H27" s="17"/>
      <c r="I27" s="18"/>
      <c r="J27" s="40" t="s">
        <v>90</v>
      </c>
      <c r="K27" s="41"/>
      <c r="L27" s="42"/>
      <c r="M27" s="32" t="s">
        <v>42</v>
      </c>
      <c r="N27" s="17"/>
      <c r="O27" s="33"/>
    </row>
    <row r="28" spans="1:15" ht="9" customHeight="1" x14ac:dyDescent="0.3">
      <c r="A28" s="58"/>
      <c r="B28" s="40"/>
      <c r="C28" s="41"/>
      <c r="D28" s="42"/>
      <c r="E28" s="40"/>
      <c r="F28" s="42"/>
      <c r="G28" s="32" t="s">
        <v>33</v>
      </c>
      <c r="H28" s="19"/>
      <c r="I28" s="19"/>
      <c r="J28" s="40"/>
      <c r="K28" s="41"/>
      <c r="L28" s="42"/>
      <c r="M28" s="32" t="s">
        <v>33</v>
      </c>
      <c r="N28" s="19"/>
      <c r="O28" s="34"/>
    </row>
    <row r="29" spans="1:15" ht="9" customHeight="1" x14ac:dyDescent="0.3">
      <c r="A29" s="58"/>
      <c r="B29" s="40"/>
      <c r="C29" s="41"/>
      <c r="D29" s="42"/>
      <c r="E29" s="40"/>
      <c r="F29" s="42"/>
      <c r="G29" s="32" t="s">
        <v>34</v>
      </c>
      <c r="H29" s="19"/>
      <c r="I29" s="19"/>
      <c r="J29" s="40"/>
      <c r="K29" s="41"/>
      <c r="L29" s="42"/>
      <c r="M29" s="32" t="s">
        <v>34</v>
      </c>
      <c r="N29" s="19"/>
      <c r="O29" s="34"/>
    </row>
    <row r="30" spans="1:15" ht="9" customHeight="1" thickBot="1" x14ac:dyDescent="0.35">
      <c r="A30" s="58"/>
      <c r="B30" s="40"/>
      <c r="C30" s="41"/>
      <c r="D30" s="42"/>
      <c r="E30" s="40"/>
      <c r="F30" s="42"/>
      <c r="G30" s="32" t="s">
        <v>43</v>
      </c>
      <c r="H30" s="19"/>
      <c r="I30" s="19"/>
      <c r="J30" s="40"/>
      <c r="K30" s="41"/>
      <c r="L30" s="42"/>
      <c r="M30" s="32" t="s">
        <v>43</v>
      </c>
      <c r="N30" s="19"/>
      <c r="O30" s="34"/>
    </row>
    <row r="31" spans="1:15" ht="9" customHeight="1" thickBot="1" x14ac:dyDescent="0.35">
      <c r="A31" s="58"/>
      <c r="B31" s="43"/>
      <c r="C31" s="44"/>
      <c r="D31" s="45"/>
      <c r="E31" s="43"/>
      <c r="F31" s="45"/>
      <c r="G31" s="22" t="s">
        <v>46</v>
      </c>
      <c r="H31" s="37" t="str">
        <f ca="1">IF(OR(ISNA(_xlfn.XLOOKUP(INDIRECT("R[-4]C", 0), LO[Likelihood], LO[Value])),ISNA(_xlfn.XLOOKUP(INDIRECT("R[-3]C", 0), FE[Frequency], FE[Value])),ISNA(_xlfn.XLOOKUP(INDIRECT("R[-2]C", 0), DPH[Severity], DPH[Value])),ISNA(_xlfn.XLOOKUP(INDIRECT("R[-1]C", 0), NP[At Risk], NP[Value]))),"PENDING",PRODUCT(_xlfn.XLOOKUP(INDIRECT("R[-4]C", 0), LO[Likelihood], LO[Value]),_xlfn.XLOOKUP(INDIRECT("R[-3]C", 0), FE[Frequency], FE[Value]),_xlfn.XLOOKUP(INDIRECT("R[-2]C", 0), DPH[Severity], DPH[Value]),_xlfn.XLOOKUP(INDIRECT("R[-1]C", 0), NP[At Risk], NP[Value])))</f>
        <v>PENDING</v>
      </c>
      <c r="I31" s="39"/>
      <c r="J31" s="43"/>
      <c r="K31" s="44"/>
      <c r="L31" s="45"/>
      <c r="M31" s="22" t="s">
        <v>46</v>
      </c>
      <c r="N31" s="37" t="str">
        <f ca="1">IF(OR(ISNA(_xlfn.XLOOKUP(INDIRECT("R[-4]C", 0), LO[Likelihood], LO[Value])),ISNA(_xlfn.XLOOKUP(INDIRECT("R[-3]C", 0), FE[Frequency], FE[Value])),ISNA(_xlfn.XLOOKUP(INDIRECT("R[-2]C", 0), DPH[Severity], DPH[Value])),ISNA(_xlfn.XLOOKUP(INDIRECT("R[-1]C", 0), NP[At Risk], NP[Value]))),"PENDING",PRODUCT(_xlfn.XLOOKUP(INDIRECT("R[-4]C", 0), LO[Likelihood], LO[Value]),_xlfn.XLOOKUP(INDIRECT("R[-3]C", 0), FE[Frequency], FE[Value]),_xlfn.XLOOKUP(INDIRECT("R[-2]C", 0), DPH[Severity], DPH[Value]),_xlfn.XLOOKUP(INDIRECT("R[-1]C", 0), NP[At Risk], NP[Value])))</f>
        <v>PENDING</v>
      </c>
      <c r="O31" s="38"/>
    </row>
    <row r="32" spans="1:15" ht="9" customHeight="1" x14ac:dyDescent="0.3">
      <c r="A32" s="58">
        <v>6</v>
      </c>
      <c r="B32" s="46" t="s">
        <v>67</v>
      </c>
      <c r="C32" s="47"/>
      <c r="D32" s="48"/>
      <c r="E32" s="46" t="s">
        <v>79</v>
      </c>
      <c r="F32" s="48"/>
      <c r="G32" s="32" t="s">
        <v>42</v>
      </c>
      <c r="H32" s="17"/>
      <c r="I32" s="18"/>
      <c r="J32" s="46" t="s">
        <v>91</v>
      </c>
      <c r="K32" s="47"/>
      <c r="L32" s="48"/>
      <c r="M32" s="32" t="s">
        <v>42</v>
      </c>
      <c r="N32" s="17"/>
      <c r="O32" s="33"/>
    </row>
    <row r="33" spans="1:30" ht="9" customHeight="1" x14ac:dyDescent="0.3">
      <c r="A33" s="58"/>
      <c r="B33" s="40"/>
      <c r="C33" s="41"/>
      <c r="D33" s="42"/>
      <c r="E33" s="40"/>
      <c r="F33" s="42"/>
      <c r="G33" s="32" t="s">
        <v>33</v>
      </c>
      <c r="H33" s="19"/>
      <c r="I33" s="19"/>
      <c r="J33" s="40"/>
      <c r="K33" s="41"/>
      <c r="L33" s="42"/>
      <c r="M33" s="32" t="s">
        <v>33</v>
      </c>
      <c r="N33" s="19"/>
      <c r="O33" s="34"/>
    </row>
    <row r="34" spans="1:30" ht="9" customHeight="1" x14ac:dyDescent="0.3">
      <c r="A34" s="58"/>
      <c r="B34" s="40"/>
      <c r="C34" s="41"/>
      <c r="D34" s="42"/>
      <c r="E34" s="40"/>
      <c r="F34" s="42"/>
      <c r="G34" s="32" t="s">
        <v>34</v>
      </c>
      <c r="H34" s="19"/>
      <c r="I34" s="19"/>
      <c r="J34" s="40"/>
      <c r="K34" s="41"/>
      <c r="L34" s="42"/>
      <c r="M34" s="32" t="s">
        <v>34</v>
      </c>
      <c r="N34" s="19"/>
      <c r="O34" s="34"/>
    </row>
    <row r="35" spans="1:30" ht="9" customHeight="1" thickBot="1" x14ac:dyDescent="0.35">
      <c r="A35" s="58"/>
      <c r="B35" s="40"/>
      <c r="C35" s="41"/>
      <c r="D35" s="42"/>
      <c r="E35" s="40"/>
      <c r="F35" s="42"/>
      <c r="G35" s="32" t="s">
        <v>43</v>
      </c>
      <c r="H35" s="19"/>
      <c r="I35" s="19"/>
      <c r="J35" s="40"/>
      <c r="K35" s="41"/>
      <c r="L35" s="42"/>
      <c r="M35" s="32" t="s">
        <v>43</v>
      </c>
      <c r="N35" s="19"/>
      <c r="O35" s="34"/>
    </row>
    <row r="36" spans="1:30" ht="9" customHeight="1" thickBot="1" x14ac:dyDescent="0.35">
      <c r="A36" s="58"/>
      <c r="B36" s="43"/>
      <c r="C36" s="44"/>
      <c r="D36" s="45"/>
      <c r="E36" s="43"/>
      <c r="F36" s="45"/>
      <c r="G36" s="22" t="s">
        <v>46</v>
      </c>
      <c r="H36" s="37" t="str">
        <f ca="1">IF(OR(ISNA(_xlfn.XLOOKUP(INDIRECT("R[-4]C", 0), LO[Likelihood], LO[Value])),ISNA(_xlfn.XLOOKUP(INDIRECT("R[-3]C", 0), FE[Frequency], FE[Value])),ISNA(_xlfn.XLOOKUP(INDIRECT("R[-2]C", 0), DPH[Severity], DPH[Value])),ISNA(_xlfn.XLOOKUP(INDIRECT("R[-1]C", 0), NP[At Risk], NP[Value]))),"PENDING",PRODUCT(_xlfn.XLOOKUP(INDIRECT("R[-4]C", 0), LO[Likelihood], LO[Value]),_xlfn.XLOOKUP(INDIRECT("R[-3]C", 0), FE[Frequency], FE[Value]),_xlfn.XLOOKUP(INDIRECT("R[-2]C", 0), DPH[Severity], DPH[Value]),_xlfn.XLOOKUP(INDIRECT("R[-1]C", 0), NP[At Risk], NP[Value])))</f>
        <v>PENDING</v>
      </c>
      <c r="I36" s="39"/>
      <c r="J36" s="43"/>
      <c r="K36" s="44"/>
      <c r="L36" s="45"/>
      <c r="M36" s="22" t="s">
        <v>46</v>
      </c>
      <c r="N36" s="37" t="str">
        <f ca="1">IF(OR(ISNA(_xlfn.XLOOKUP(INDIRECT("R[-4]C", 0), LO[Likelihood], LO[Value])),ISNA(_xlfn.XLOOKUP(INDIRECT("R[-3]C", 0), FE[Frequency], FE[Value])),ISNA(_xlfn.XLOOKUP(INDIRECT("R[-2]C", 0), DPH[Severity], DPH[Value])),ISNA(_xlfn.XLOOKUP(INDIRECT("R[-1]C", 0), NP[At Risk], NP[Value]))),"PENDING",PRODUCT(_xlfn.XLOOKUP(INDIRECT("R[-4]C", 0), LO[Likelihood], LO[Value]),_xlfn.XLOOKUP(INDIRECT("R[-3]C", 0), FE[Frequency], FE[Value]),_xlfn.XLOOKUP(INDIRECT("R[-2]C", 0), DPH[Severity], DPH[Value]),_xlfn.XLOOKUP(INDIRECT("R[-1]C", 0), NP[At Risk], NP[Value])))</f>
        <v>PENDING</v>
      </c>
      <c r="O36" s="38"/>
    </row>
    <row r="37" spans="1:30" ht="9" customHeight="1" x14ac:dyDescent="0.3">
      <c r="A37" s="58">
        <v>7</v>
      </c>
      <c r="B37" s="40" t="s">
        <v>68</v>
      </c>
      <c r="C37" s="41"/>
      <c r="D37" s="42"/>
      <c r="E37" s="40" t="s">
        <v>80</v>
      </c>
      <c r="F37" s="42"/>
      <c r="G37" s="32" t="s">
        <v>42</v>
      </c>
      <c r="H37" s="17"/>
      <c r="I37" s="18"/>
      <c r="J37" s="40" t="s">
        <v>92</v>
      </c>
      <c r="K37" s="41"/>
      <c r="L37" s="42"/>
      <c r="M37" s="32" t="s">
        <v>42</v>
      </c>
      <c r="N37" s="17"/>
      <c r="O37" s="33"/>
    </row>
    <row r="38" spans="1:30" ht="9" customHeight="1" x14ac:dyDescent="0.3">
      <c r="A38" s="58"/>
      <c r="B38" s="40"/>
      <c r="C38" s="41"/>
      <c r="D38" s="42"/>
      <c r="E38" s="40"/>
      <c r="F38" s="42"/>
      <c r="G38" s="32" t="s">
        <v>33</v>
      </c>
      <c r="H38" s="19"/>
      <c r="I38" s="19"/>
      <c r="J38" s="40"/>
      <c r="K38" s="41"/>
      <c r="L38" s="42"/>
      <c r="M38" s="32" t="s">
        <v>33</v>
      </c>
      <c r="N38" s="19"/>
      <c r="O38" s="34"/>
    </row>
    <row r="39" spans="1:30" ht="9" customHeight="1" x14ac:dyDescent="0.3">
      <c r="A39" s="58"/>
      <c r="B39" s="40"/>
      <c r="C39" s="41"/>
      <c r="D39" s="42"/>
      <c r="E39" s="40"/>
      <c r="F39" s="42"/>
      <c r="G39" s="32" t="s">
        <v>34</v>
      </c>
      <c r="H39" s="19"/>
      <c r="I39" s="19"/>
      <c r="J39" s="40"/>
      <c r="K39" s="41"/>
      <c r="L39" s="42"/>
      <c r="M39" s="32" t="s">
        <v>34</v>
      </c>
      <c r="N39" s="19"/>
      <c r="O39" s="34"/>
    </row>
    <row r="40" spans="1:30" ht="9" customHeight="1" thickBot="1" x14ac:dyDescent="0.35">
      <c r="A40" s="58"/>
      <c r="B40" s="40"/>
      <c r="C40" s="41"/>
      <c r="D40" s="42"/>
      <c r="E40" s="40"/>
      <c r="F40" s="42"/>
      <c r="G40" s="32" t="s">
        <v>43</v>
      </c>
      <c r="H40" s="19"/>
      <c r="I40" s="19"/>
      <c r="J40" s="40"/>
      <c r="K40" s="41"/>
      <c r="L40" s="42"/>
      <c r="M40" s="32" t="s">
        <v>43</v>
      </c>
      <c r="N40" s="19"/>
      <c r="O40" s="34"/>
    </row>
    <row r="41" spans="1:30" ht="9" customHeight="1" thickBot="1" x14ac:dyDescent="0.35">
      <c r="A41" s="58"/>
      <c r="B41" s="43"/>
      <c r="C41" s="44"/>
      <c r="D41" s="45"/>
      <c r="E41" s="43"/>
      <c r="F41" s="45"/>
      <c r="G41" s="22" t="s">
        <v>46</v>
      </c>
      <c r="H41" s="37" t="str">
        <f ca="1">IF(OR(ISNA(_xlfn.XLOOKUP(INDIRECT("R[-4]C", 0), LO[Likelihood], LO[Value])),ISNA(_xlfn.XLOOKUP(INDIRECT("R[-3]C", 0), FE[Frequency], FE[Value])),ISNA(_xlfn.XLOOKUP(INDIRECT("R[-2]C", 0), DPH[Severity], DPH[Value])),ISNA(_xlfn.XLOOKUP(INDIRECT("R[-1]C", 0), NP[At Risk], NP[Value]))),"PENDING",PRODUCT(_xlfn.XLOOKUP(INDIRECT("R[-4]C", 0), LO[Likelihood], LO[Value]),_xlfn.XLOOKUP(INDIRECT("R[-3]C", 0), FE[Frequency], FE[Value]),_xlfn.XLOOKUP(INDIRECT("R[-2]C", 0), DPH[Severity], DPH[Value]),_xlfn.XLOOKUP(INDIRECT("R[-1]C", 0), NP[At Risk], NP[Value])))</f>
        <v>PENDING</v>
      </c>
      <c r="I41" s="39"/>
      <c r="J41" s="43"/>
      <c r="K41" s="44"/>
      <c r="L41" s="45"/>
      <c r="M41" s="22" t="s">
        <v>46</v>
      </c>
      <c r="N41" s="37" t="str">
        <f ca="1">IF(OR(ISNA(_xlfn.XLOOKUP(INDIRECT("R[-4]C", 0), LO[Likelihood], LO[Value])),ISNA(_xlfn.XLOOKUP(INDIRECT("R[-3]C", 0), FE[Frequency], FE[Value])),ISNA(_xlfn.XLOOKUP(INDIRECT("R[-2]C", 0), DPH[Severity], DPH[Value])),ISNA(_xlfn.XLOOKUP(INDIRECT("R[-1]C", 0), NP[At Risk], NP[Value]))),"PENDING",PRODUCT(_xlfn.XLOOKUP(INDIRECT("R[-4]C", 0), LO[Likelihood], LO[Value]),_xlfn.XLOOKUP(INDIRECT("R[-3]C", 0), FE[Frequency], FE[Value]),_xlfn.XLOOKUP(INDIRECT("R[-2]C", 0), DPH[Severity], DPH[Value]),_xlfn.XLOOKUP(INDIRECT("R[-1]C", 0), NP[At Risk], NP[Value])))</f>
        <v>PENDING</v>
      </c>
      <c r="O41" s="38"/>
    </row>
    <row r="42" spans="1:30" ht="9" customHeight="1" x14ac:dyDescent="0.3">
      <c r="A42" s="58">
        <v>8</v>
      </c>
      <c r="B42" s="46" t="s">
        <v>69</v>
      </c>
      <c r="C42" s="47"/>
      <c r="D42" s="48"/>
      <c r="E42" s="46" t="s">
        <v>81</v>
      </c>
      <c r="F42" s="48"/>
      <c r="G42" s="32" t="s">
        <v>42</v>
      </c>
      <c r="H42" s="17"/>
      <c r="I42" s="18"/>
      <c r="J42" s="46" t="s">
        <v>93</v>
      </c>
      <c r="K42" s="47"/>
      <c r="L42" s="48"/>
      <c r="M42" s="32" t="s">
        <v>42</v>
      </c>
      <c r="N42" s="17"/>
      <c r="O42" s="33"/>
    </row>
    <row r="43" spans="1:30" ht="9" customHeight="1" x14ac:dyDescent="0.3">
      <c r="A43" s="58"/>
      <c r="B43" s="40"/>
      <c r="C43" s="41"/>
      <c r="D43" s="42"/>
      <c r="E43" s="40"/>
      <c r="F43" s="42"/>
      <c r="G43" s="32" t="s">
        <v>33</v>
      </c>
      <c r="H43" s="19"/>
      <c r="I43" s="19"/>
      <c r="J43" s="40"/>
      <c r="K43" s="41"/>
      <c r="L43" s="42"/>
      <c r="M43" s="32" t="s">
        <v>33</v>
      </c>
      <c r="N43" s="19"/>
      <c r="O43" s="34"/>
    </row>
    <row r="44" spans="1:30" ht="9" customHeight="1" x14ac:dyDescent="0.3">
      <c r="A44" s="58"/>
      <c r="B44" s="40"/>
      <c r="C44" s="41"/>
      <c r="D44" s="42"/>
      <c r="E44" s="40"/>
      <c r="F44" s="42"/>
      <c r="G44" s="32" t="s">
        <v>34</v>
      </c>
      <c r="H44" s="19"/>
      <c r="I44" s="19"/>
      <c r="J44" s="40"/>
      <c r="K44" s="41"/>
      <c r="L44" s="42"/>
      <c r="M44" s="32" t="s">
        <v>34</v>
      </c>
      <c r="N44" s="19"/>
      <c r="O44" s="34"/>
    </row>
    <row r="45" spans="1:30" ht="9" customHeight="1" thickBot="1" x14ac:dyDescent="0.35">
      <c r="A45" s="58"/>
      <c r="B45" s="40"/>
      <c r="C45" s="41"/>
      <c r="D45" s="42"/>
      <c r="E45" s="40"/>
      <c r="F45" s="42"/>
      <c r="G45" s="32" t="s">
        <v>43</v>
      </c>
      <c r="H45" s="19"/>
      <c r="I45" s="19"/>
      <c r="J45" s="40"/>
      <c r="K45" s="41"/>
      <c r="L45" s="42"/>
      <c r="M45" s="32" t="s">
        <v>43</v>
      </c>
      <c r="N45" s="19"/>
      <c r="O45" s="34"/>
    </row>
    <row r="46" spans="1:30" ht="9" customHeight="1" thickBot="1" x14ac:dyDescent="0.35">
      <c r="A46" s="58"/>
      <c r="B46" s="43"/>
      <c r="C46" s="44"/>
      <c r="D46" s="45"/>
      <c r="E46" s="43"/>
      <c r="F46" s="45"/>
      <c r="G46" s="22" t="s">
        <v>46</v>
      </c>
      <c r="H46" s="37" t="str">
        <f ca="1">IF(OR(ISNA(_xlfn.XLOOKUP(INDIRECT("R[-4]C", 0), LO[Likelihood], LO[Value])),ISNA(_xlfn.XLOOKUP(INDIRECT("R[-3]C", 0), FE[Frequency], FE[Value])),ISNA(_xlfn.XLOOKUP(INDIRECT("R[-2]C", 0), DPH[Severity], DPH[Value])),ISNA(_xlfn.XLOOKUP(INDIRECT("R[-1]C", 0), NP[At Risk], NP[Value]))),"PENDING",PRODUCT(_xlfn.XLOOKUP(INDIRECT("R[-4]C", 0), LO[Likelihood], LO[Value]),_xlfn.XLOOKUP(INDIRECT("R[-3]C", 0), FE[Frequency], FE[Value]),_xlfn.XLOOKUP(INDIRECT("R[-2]C", 0), DPH[Severity], DPH[Value]),_xlfn.XLOOKUP(INDIRECT("R[-1]C", 0), NP[At Risk], NP[Value])))</f>
        <v>PENDING</v>
      </c>
      <c r="I46" s="39"/>
      <c r="J46" s="43"/>
      <c r="K46" s="44"/>
      <c r="L46" s="45"/>
      <c r="M46" s="22" t="s">
        <v>46</v>
      </c>
      <c r="N46" s="37" t="str">
        <f ca="1">IF(OR(ISNA(_xlfn.XLOOKUP(INDIRECT("R[-4]C", 0), LO[Likelihood], LO[Value])),ISNA(_xlfn.XLOOKUP(INDIRECT("R[-3]C", 0), FE[Frequency], FE[Value])),ISNA(_xlfn.XLOOKUP(INDIRECT("R[-2]C", 0), DPH[Severity], DPH[Value])),ISNA(_xlfn.XLOOKUP(INDIRECT("R[-1]C", 0), NP[At Risk], NP[Value]))),"PENDING",PRODUCT(_xlfn.XLOOKUP(INDIRECT("R[-4]C", 0), LO[Likelihood], LO[Value]),_xlfn.XLOOKUP(INDIRECT("R[-3]C", 0), FE[Frequency], FE[Value]),_xlfn.XLOOKUP(INDIRECT("R[-2]C", 0), DPH[Severity], DPH[Value]),_xlfn.XLOOKUP(INDIRECT("R[-1]C", 0), NP[At Risk], NP[Value])))</f>
        <v>PENDING</v>
      </c>
      <c r="O46" s="38"/>
    </row>
    <row r="47" spans="1:30" ht="9" customHeight="1" x14ac:dyDescent="0.3">
      <c r="A47" s="58">
        <v>9</v>
      </c>
      <c r="B47" s="46" t="s">
        <v>70</v>
      </c>
      <c r="C47" s="47"/>
      <c r="D47" s="48"/>
      <c r="E47" s="40" t="s">
        <v>82</v>
      </c>
      <c r="F47" s="42"/>
      <c r="G47" s="32" t="s">
        <v>42</v>
      </c>
      <c r="H47" s="17"/>
      <c r="I47" s="18"/>
      <c r="J47" s="40" t="s">
        <v>94</v>
      </c>
      <c r="K47" s="41"/>
      <c r="L47" s="42"/>
      <c r="M47" s="32" t="s">
        <v>42</v>
      </c>
      <c r="N47" s="17"/>
      <c r="O47" s="33"/>
      <c r="P47" s="20"/>
      <c r="Q47" s="20"/>
      <c r="R47" s="20"/>
      <c r="S47" s="20"/>
      <c r="T47" s="20"/>
      <c r="U47" s="20"/>
      <c r="V47" s="20"/>
      <c r="W47" s="20"/>
      <c r="X47" s="20"/>
      <c r="Y47" s="20"/>
      <c r="Z47" s="20"/>
      <c r="AA47" s="20"/>
      <c r="AB47" s="20"/>
      <c r="AC47" s="20"/>
      <c r="AD47" s="20"/>
    </row>
    <row r="48" spans="1:30" ht="9" customHeight="1" x14ac:dyDescent="0.3">
      <c r="A48" s="58"/>
      <c r="B48" s="40"/>
      <c r="C48" s="41"/>
      <c r="D48" s="42"/>
      <c r="E48" s="40"/>
      <c r="F48" s="42"/>
      <c r="G48" s="32" t="s">
        <v>33</v>
      </c>
      <c r="H48" s="19"/>
      <c r="I48" s="19"/>
      <c r="J48" s="40"/>
      <c r="K48" s="41"/>
      <c r="L48" s="42"/>
      <c r="M48" s="32" t="s">
        <v>33</v>
      </c>
      <c r="N48" s="19"/>
      <c r="O48" s="34"/>
      <c r="P48" s="20"/>
      <c r="Q48" s="20"/>
      <c r="R48" s="20"/>
      <c r="S48" s="20"/>
      <c r="T48" s="20"/>
      <c r="U48" s="20"/>
      <c r="V48" s="20"/>
      <c r="W48" s="20"/>
      <c r="X48" s="20"/>
      <c r="Y48" s="20"/>
      <c r="Z48" s="20"/>
      <c r="AA48" s="20"/>
      <c r="AB48" s="20"/>
      <c r="AC48" s="20"/>
      <c r="AD48" s="20"/>
    </row>
    <row r="49" spans="1:30" ht="9" customHeight="1" x14ac:dyDescent="0.3">
      <c r="A49" s="58"/>
      <c r="B49" s="40"/>
      <c r="C49" s="41"/>
      <c r="D49" s="42"/>
      <c r="E49" s="40"/>
      <c r="F49" s="42"/>
      <c r="G49" s="32" t="s">
        <v>34</v>
      </c>
      <c r="H49" s="19"/>
      <c r="I49" s="19"/>
      <c r="J49" s="40"/>
      <c r="K49" s="41"/>
      <c r="L49" s="42"/>
      <c r="M49" s="32" t="s">
        <v>34</v>
      </c>
      <c r="N49" s="19"/>
      <c r="O49" s="34"/>
      <c r="P49" s="20"/>
      <c r="Q49" s="20"/>
      <c r="R49" s="20"/>
      <c r="S49" s="20"/>
      <c r="T49" s="20"/>
      <c r="U49" s="20"/>
      <c r="V49" s="20"/>
      <c r="W49" s="20"/>
      <c r="X49" s="20"/>
      <c r="Y49" s="20"/>
      <c r="Z49" s="20"/>
      <c r="AA49" s="20"/>
      <c r="AB49" s="20"/>
      <c r="AC49" s="20"/>
      <c r="AD49" s="20"/>
    </row>
    <row r="50" spans="1:30" ht="9" customHeight="1" thickBot="1" x14ac:dyDescent="0.35">
      <c r="A50" s="58"/>
      <c r="B50" s="40"/>
      <c r="C50" s="41"/>
      <c r="D50" s="42"/>
      <c r="E50" s="40"/>
      <c r="F50" s="42"/>
      <c r="G50" s="32" t="s">
        <v>43</v>
      </c>
      <c r="H50" s="19"/>
      <c r="I50" s="19"/>
      <c r="J50" s="40"/>
      <c r="K50" s="41"/>
      <c r="L50" s="42"/>
      <c r="M50" s="32" t="s">
        <v>43</v>
      </c>
      <c r="N50" s="19"/>
      <c r="O50" s="34"/>
      <c r="P50" s="20"/>
      <c r="Q50" s="20"/>
      <c r="R50" s="20"/>
      <c r="S50" s="20"/>
      <c r="T50" s="20"/>
      <c r="U50" s="20"/>
      <c r="V50" s="20"/>
      <c r="W50" s="20"/>
      <c r="X50" s="20"/>
      <c r="Y50" s="20"/>
      <c r="Z50" s="20"/>
      <c r="AA50" s="20"/>
      <c r="AB50" s="20"/>
      <c r="AC50" s="20"/>
      <c r="AD50" s="20"/>
    </row>
    <row r="51" spans="1:30" ht="9" customHeight="1" thickBot="1" x14ac:dyDescent="0.35">
      <c r="A51" s="58"/>
      <c r="B51" s="43"/>
      <c r="C51" s="44"/>
      <c r="D51" s="45"/>
      <c r="E51" s="43"/>
      <c r="F51" s="45"/>
      <c r="G51" s="22" t="s">
        <v>46</v>
      </c>
      <c r="H51" s="37" t="str">
        <f ca="1">IF(OR(ISNA(_xlfn.XLOOKUP(INDIRECT("R[-4]C", 0), LO[Likelihood], LO[Value])),ISNA(_xlfn.XLOOKUP(INDIRECT("R[-3]C", 0), FE[Frequency], FE[Value])),ISNA(_xlfn.XLOOKUP(INDIRECT("R[-2]C", 0), DPH[Severity], DPH[Value])),ISNA(_xlfn.XLOOKUP(INDIRECT("R[-1]C", 0), NP[At Risk], NP[Value]))),"PENDING",PRODUCT(_xlfn.XLOOKUP(INDIRECT("R[-4]C", 0), LO[Likelihood], LO[Value]),_xlfn.XLOOKUP(INDIRECT("R[-3]C", 0), FE[Frequency], FE[Value]),_xlfn.XLOOKUP(INDIRECT("R[-2]C", 0), DPH[Severity], DPH[Value]),_xlfn.XLOOKUP(INDIRECT("R[-1]C", 0), NP[At Risk], NP[Value])))</f>
        <v>PENDING</v>
      </c>
      <c r="I51" s="39"/>
      <c r="J51" s="43"/>
      <c r="K51" s="44"/>
      <c r="L51" s="45"/>
      <c r="M51" s="22" t="s">
        <v>46</v>
      </c>
      <c r="N51" s="37" t="str">
        <f ca="1">IF(OR(ISNA(_xlfn.XLOOKUP(INDIRECT("R[-4]C", 0), LO[Likelihood], LO[Value])),ISNA(_xlfn.XLOOKUP(INDIRECT("R[-3]C", 0), FE[Frequency], FE[Value])),ISNA(_xlfn.XLOOKUP(INDIRECT("R[-2]C", 0), DPH[Severity], DPH[Value])),ISNA(_xlfn.XLOOKUP(INDIRECT("R[-1]C", 0), NP[At Risk], NP[Value]))),"PENDING",PRODUCT(_xlfn.XLOOKUP(INDIRECT("R[-4]C", 0), LO[Likelihood], LO[Value]),_xlfn.XLOOKUP(INDIRECT("R[-3]C", 0), FE[Frequency], FE[Value]),_xlfn.XLOOKUP(INDIRECT("R[-2]C", 0), DPH[Severity], DPH[Value]),_xlfn.XLOOKUP(INDIRECT("R[-1]C", 0), NP[At Risk], NP[Value])))</f>
        <v>PENDING</v>
      </c>
      <c r="O51" s="38"/>
      <c r="P51" s="20"/>
      <c r="Q51" s="20"/>
      <c r="R51" s="20"/>
      <c r="S51" s="20"/>
      <c r="T51" s="20"/>
      <c r="U51" s="20"/>
      <c r="V51" s="20"/>
      <c r="W51" s="20"/>
      <c r="X51" s="20"/>
      <c r="Y51" s="20"/>
      <c r="Z51" s="20"/>
      <c r="AA51" s="20"/>
      <c r="AB51" s="20"/>
      <c r="AC51" s="20"/>
      <c r="AD51" s="20"/>
    </row>
    <row r="52" spans="1:30" ht="9" customHeight="1" x14ac:dyDescent="0.3">
      <c r="A52" s="58">
        <v>10</v>
      </c>
      <c r="B52" s="40" t="s">
        <v>71</v>
      </c>
      <c r="C52" s="41"/>
      <c r="D52" s="42"/>
      <c r="E52" s="46" t="s">
        <v>83</v>
      </c>
      <c r="F52" s="48"/>
      <c r="G52" s="32" t="s">
        <v>42</v>
      </c>
      <c r="H52" s="17"/>
      <c r="I52" s="18"/>
      <c r="J52" s="46" t="s">
        <v>95</v>
      </c>
      <c r="K52" s="47"/>
      <c r="L52" s="48"/>
      <c r="M52" s="32" t="s">
        <v>42</v>
      </c>
      <c r="N52" s="17"/>
      <c r="O52" s="33"/>
      <c r="P52" s="20"/>
      <c r="Q52" s="20"/>
      <c r="R52" s="20"/>
      <c r="S52" s="20"/>
      <c r="T52" s="20"/>
      <c r="U52" s="20"/>
      <c r="V52" s="20"/>
      <c r="W52" s="20"/>
      <c r="X52" s="20"/>
      <c r="Y52" s="20"/>
      <c r="Z52" s="20"/>
      <c r="AA52" s="20"/>
      <c r="AB52" s="20"/>
      <c r="AC52" s="20"/>
      <c r="AD52" s="20"/>
    </row>
    <row r="53" spans="1:30" ht="9" customHeight="1" x14ac:dyDescent="0.3">
      <c r="A53" s="58"/>
      <c r="B53" s="40"/>
      <c r="C53" s="41"/>
      <c r="D53" s="42"/>
      <c r="E53" s="40"/>
      <c r="F53" s="42"/>
      <c r="G53" s="32" t="s">
        <v>33</v>
      </c>
      <c r="H53" s="19"/>
      <c r="I53" s="19"/>
      <c r="J53" s="40"/>
      <c r="K53" s="41"/>
      <c r="L53" s="42"/>
      <c r="M53" s="32" t="s">
        <v>33</v>
      </c>
      <c r="N53" s="19"/>
      <c r="O53" s="34"/>
      <c r="P53" s="20"/>
      <c r="Q53" s="20"/>
      <c r="R53" s="20"/>
      <c r="S53" s="20"/>
      <c r="T53" s="20"/>
      <c r="U53" s="20"/>
      <c r="V53" s="20"/>
      <c r="W53" s="20"/>
      <c r="X53" s="20"/>
      <c r="Y53" s="20"/>
      <c r="Z53" s="20"/>
      <c r="AA53" s="20"/>
      <c r="AB53" s="20"/>
      <c r="AC53" s="20"/>
      <c r="AD53" s="20"/>
    </row>
    <row r="54" spans="1:30" ht="9" customHeight="1" x14ac:dyDescent="0.3">
      <c r="A54" s="58"/>
      <c r="B54" s="40"/>
      <c r="C54" s="41"/>
      <c r="D54" s="42"/>
      <c r="E54" s="40"/>
      <c r="F54" s="42"/>
      <c r="G54" s="32" t="s">
        <v>34</v>
      </c>
      <c r="H54" s="19"/>
      <c r="I54" s="19"/>
      <c r="J54" s="40"/>
      <c r="K54" s="41"/>
      <c r="L54" s="42"/>
      <c r="M54" s="32" t="s">
        <v>34</v>
      </c>
      <c r="N54" s="19"/>
      <c r="O54" s="34"/>
      <c r="P54" s="20"/>
      <c r="Q54" s="20"/>
      <c r="R54" s="20"/>
      <c r="S54" s="20"/>
      <c r="T54" s="20"/>
      <c r="U54" s="20"/>
      <c r="V54" s="20"/>
      <c r="W54" s="20"/>
      <c r="X54" s="20"/>
      <c r="Y54" s="20"/>
      <c r="Z54" s="20"/>
      <c r="AA54" s="20"/>
      <c r="AB54" s="20"/>
      <c r="AC54" s="20"/>
      <c r="AD54" s="20"/>
    </row>
    <row r="55" spans="1:30" ht="9" customHeight="1" thickBot="1" x14ac:dyDescent="0.35">
      <c r="A55" s="58"/>
      <c r="B55" s="40"/>
      <c r="C55" s="41"/>
      <c r="D55" s="42"/>
      <c r="E55" s="40"/>
      <c r="F55" s="42"/>
      <c r="G55" s="32" t="s">
        <v>43</v>
      </c>
      <c r="H55" s="19"/>
      <c r="I55" s="19"/>
      <c r="J55" s="40"/>
      <c r="K55" s="41"/>
      <c r="L55" s="42"/>
      <c r="M55" s="32" t="s">
        <v>43</v>
      </c>
      <c r="N55" s="19"/>
      <c r="O55" s="34"/>
      <c r="P55" s="20"/>
      <c r="Q55" s="20"/>
      <c r="R55" s="20"/>
      <c r="S55" s="20"/>
      <c r="T55" s="20"/>
      <c r="U55" s="20"/>
      <c r="V55" s="20"/>
      <c r="W55" s="20"/>
      <c r="X55" s="20"/>
      <c r="Y55" s="20"/>
      <c r="Z55" s="20"/>
      <c r="AA55" s="20"/>
      <c r="AB55" s="20"/>
      <c r="AC55" s="20"/>
      <c r="AD55" s="20"/>
    </row>
    <row r="56" spans="1:30" ht="9" customHeight="1" thickBot="1" x14ac:dyDescent="0.35">
      <c r="A56" s="58"/>
      <c r="B56" s="43"/>
      <c r="C56" s="44"/>
      <c r="D56" s="45"/>
      <c r="E56" s="43"/>
      <c r="F56" s="45"/>
      <c r="G56" s="22" t="s">
        <v>46</v>
      </c>
      <c r="H56" s="37" t="str">
        <f ca="1">IF(OR(ISNA(_xlfn.XLOOKUP(INDIRECT("R[-4]C", 0), LO[Likelihood], LO[Value])),ISNA(_xlfn.XLOOKUP(INDIRECT("R[-3]C", 0), FE[Frequency], FE[Value])),ISNA(_xlfn.XLOOKUP(INDIRECT("R[-2]C", 0), DPH[Severity], DPH[Value])),ISNA(_xlfn.XLOOKUP(INDIRECT("R[-1]C", 0), NP[At Risk], NP[Value]))),"PENDING",PRODUCT(_xlfn.XLOOKUP(INDIRECT("R[-4]C", 0), LO[Likelihood], LO[Value]),_xlfn.XLOOKUP(INDIRECT("R[-3]C", 0), FE[Frequency], FE[Value]),_xlfn.XLOOKUP(INDIRECT("R[-2]C", 0), DPH[Severity], DPH[Value]),_xlfn.XLOOKUP(INDIRECT("R[-1]C", 0), NP[At Risk], NP[Value])))</f>
        <v>PENDING</v>
      </c>
      <c r="I56" s="39"/>
      <c r="J56" s="43"/>
      <c r="K56" s="44"/>
      <c r="L56" s="45"/>
      <c r="M56" s="22" t="s">
        <v>46</v>
      </c>
      <c r="N56" s="37" t="str">
        <f ca="1">IF(OR(ISNA(_xlfn.XLOOKUP(INDIRECT("R[-4]C", 0), LO[Likelihood], LO[Value])),ISNA(_xlfn.XLOOKUP(INDIRECT("R[-3]C", 0), FE[Frequency], FE[Value])),ISNA(_xlfn.XLOOKUP(INDIRECT("R[-2]C", 0), DPH[Severity], DPH[Value])),ISNA(_xlfn.XLOOKUP(INDIRECT("R[-1]C", 0), NP[At Risk], NP[Value]))),"PENDING",PRODUCT(_xlfn.XLOOKUP(INDIRECT("R[-4]C", 0), LO[Likelihood], LO[Value]),_xlfn.XLOOKUP(INDIRECT("R[-3]C", 0), FE[Frequency], FE[Value]),_xlfn.XLOOKUP(INDIRECT("R[-2]C", 0), DPH[Severity], DPH[Value]),_xlfn.XLOOKUP(INDIRECT("R[-1]C", 0), NP[At Risk], NP[Value])))</f>
        <v>PENDING</v>
      </c>
      <c r="O56" s="38"/>
      <c r="P56" s="20"/>
      <c r="Q56" s="20"/>
      <c r="R56" s="20"/>
      <c r="S56" s="20"/>
      <c r="T56" s="20"/>
      <c r="U56" s="20"/>
      <c r="V56" s="20"/>
      <c r="W56" s="20"/>
      <c r="X56" s="20"/>
      <c r="Y56" s="20"/>
      <c r="Z56" s="20"/>
      <c r="AA56" s="20"/>
      <c r="AB56" s="20"/>
      <c r="AC56" s="20"/>
      <c r="AD56" s="20"/>
    </row>
    <row r="57" spans="1:30" ht="9" customHeight="1" x14ac:dyDescent="0.3">
      <c r="A57" s="58">
        <v>11</v>
      </c>
      <c r="B57" s="46" t="s">
        <v>72</v>
      </c>
      <c r="C57" s="47"/>
      <c r="D57" s="48"/>
      <c r="E57" s="40" t="s">
        <v>84</v>
      </c>
      <c r="F57" s="42"/>
      <c r="G57" s="32" t="s">
        <v>42</v>
      </c>
      <c r="H57" s="17"/>
      <c r="I57" s="18"/>
      <c r="J57" s="40" t="s">
        <v>96</v>
      </c>
      <c r="K57" s="41"/>
      <c r="L57" s="42"/>
      <c r="M57" s="32" t="s">
        <v>42</v>
      </c>
      <c r="N57" s="17"/>
      <c r="O57" s="33"/>
      <c r="P57" s="20"/>
      <c r="Q57" s="20"/>
      <c r="R57" s="20"/>
      <c r="S57" s="20"/>
      <c r="T57" s="20"/>
      <c r="U57" s="20"/>
      <c r="V57" s="20"/>
      <c r="W57" s="20"/>
      <c r="X57" s="20"/>
      <c r="Y57" s="20"/>
      <c r="Z57" s="20"/>
      <c r="AA57" s="20"/>
      <c r="AB57" s="20"/>
      <c r="AC57" s="20"/>
      <c r="AD57" s="20"/>
    </row>
    <row r="58" spans="1:30" ht="9" customHeight="1" x14ac:dyDescent="0.3">
      <c r="A58" s="58"/>
      <c r="B58" s="40"/>
      <c r="C58" s="41"/>
      <c r="D58" s="42"/>
      <c r="E58" s="40"/>
      <c r="F58" s="42"/>
      <c r="G58" s="32" t="s">
        <v>33</v>
      </c>
      <c r="H58" s="19"/>
      <c r="I58" s="19"/>
      <c r="J58" s="40"/>
      <c r="K58" s="41"/>
      <c r="L58" s="42"/>
      <c r="M58" s="32" t="s">
        <v>33</v>
      </c>
      <c r="N58" s="19"/>
      <c r="O58" s="34"/>
      <c r="P58" s="20"/>
      <c r="Q58" s="20"/>
      <c r="R58" s="20"/>
      <c r="S58" s="20"/>
      <c r="T58" s="20"/>
      <c r="U58" s="20"/>
      <c r="V58" s="20"/>
      <c r="W58" s="20"/>
      <c r="X58" s="20"/>
      <c r="Y58" s="20"/>
      <c r="Z58" s="20"/>
      <c r="AA58" s="20"/>
      <c r="AB58" s="20"/>
      <c r="AC58" s="20"/>
      <c r="AD58" s="20"/>
    </row>
    <row r="59" spans="1:30" ht="9" customHeight="1" x14ac:dyDescent="0.3">
      <c r="A59" s="58"/>
      <c r="B59" s="40"/>
      <c r="C59" s="41"/>
      <c r="D59" s="42"/>
      <c r="E59" s="40"/>
      <c r="F59" s="42"/>
      <c r="G59" s="32" t="s">
        <v>34</v>
      </c>
      <c r="H59" s="19"/>
      <c r="I59" s="19"/>
      <c r="J59" s="40"/>
      <c r="K59" s="41"/>
      <c r="L59" s="42"/>
      <c r="M59" s="32" t="s">
        <v>34</v>
      </c>
      <c r="N59" s="19"/>
      <c r="O59" s="34"/>
      <c r="P59" s="20"/>
      <c r="Q59" s="20"/>
      <c r="R59" s="20"/>
      <c r="S59" s="20"/>
      <c r="T59" s="20"/>
      <c r="U59" s="20"/>
      <c r="V59" s="20"/>
      <c r="W59" s="20"/>
      <c r="X59" s="20"/>
      <c r="Y59" s="20"/>
      <c r="Z59" s="20"/>
      <c r="AA59" s="20"/>
      <c r="AB59" s="20"/>
      <c r="AC59" s="20"/>
      <c r="AD59" s="20"/>
    </row>
    <row r="60" spans="1:30" ht="9" customHeight="1" thickBot="1" x14ac:dyDescent="0.35">
      <c r="A60" s="58"/>
      <c r="B60" s="40"/>
      <c r="C60" s="41"/>
      <c r="D60" s="42"/>
      <c r="E60" s="40"/>
      <c r="F60" s="42"/>
      <c r="G60" s="32" t="s">
        <v>43</v>
      </c>
      <c r="H60" s="19"/>
      <c r="I60" s="19"/>
      <c r="J60" s="40"/>
      <c r="K60" s="41"/>
      <c r="L60" s="42"/>
      <c r="M60" s="32" t="s">
        <v>43</v>
      </c>
      <c r="N60" s="19"/>
      <c r="O60" s="34"/>
      <c r="P60" s="20"/>
      <c r="Q60" s="20"/>
      <c r="R60" s="20"/>
      <c r="S60" s="20"/>
      <c r="T60" s="20"/>
      <c r="U60" s="20"/>
      <c r="V60" s="20"/>
      <c r="W60" s="20"/>
      <c r="X60" s="20"/>
      <c r="Y60" s="20"/>
      <c r="Z60" s="20"/>
      <c r="AA60" s="20"/>
      <c r="AB60" s="20"/>
      <c r="AC60" s="20"/>
      <c r="AD60" s="20"/>
    </row>
    <row r="61" spans="1:30" ht="9" customHeight="1" thickBot="1" x14ac:dyDescent="0.35">
      <c r="A61" s="58"/>
      <c r="B61" s="43"/>
      <c r="C61" s="44"/>
      <c r="D61" s="45"/>
      <c r="E61" s="43"/>
      <c r="F61" s="45"/>
      <c r="G61" s="22" t="s">
        <v>46</v>
      </c>
      <c r="H61" s="37" t="str">
        <f ca="1">IF(OR(ISNA(_xlfn.XLOOKUP(INDIRECT("R[-4]C", 0), LO[Likelihood], LO[Value])),ISNA(_xlfn.XLOOKUP(INDIRECT("R[-3]C", 0), FE[Frequency], FE[Value])),ISNA(_xlfn.XLOOKUP(INDIRECT("R[-2]C", 0), DPH[Severity], DPH[Value])),ISNA(_xlfn.XLOOKUP(INDIRECT("R[-1]C", 0), NP[At Risk], NP[Value]))),"PENDING",PRODUCT(_xlfn.XLOOKUP(INDIRECT("R[-4]C", 0), LO[Likelihood], LO[Value]),_xlfn.XLOOKUP(INDIRECT("R[-3]C", 0), FE[Frequency], FE[Value]),_xlfn.XLOOKUP(INDIRECT("R[-2]C", 0), DPH[Severity], DPH[Value]),_xlfn.XLOOKUP(INDIRECT("R[-1]C", 0), NP[At Risk], NP[Value])))</f>
        <v>PENDING</v>
      </c>
      <c r="I61" s="39"/>
      <c r="J61" s="43"/>
      <c r="K61" s="44"/>
      <c r="L61" s="45"/>
      <c r="M61" s="22" t="s">
        <v>46</v>
      </c>
      <c r="N61" s="37" t="str">
        <f ca="1">IF(OR(ISNA(_xlfn.XLOOKUP(INDIRECT("R[-4]C", 0), LO[Likelihood], LO[Value])),ISNA(_xlfn.XLOOKUP(INDIRECT("R[-3]C", 0), FE[Frequency], FE[Value])),ISNA(_xlfn.XLOOKUP(INDIRECT("R[-2]C", 0), DPH[Severity], DPH[Value])),ISNA(_xlfn.XLOOKUP(INDIRECT("R[-1]C", 0), NP[At Risk], NP[Value]))),"PENDING",PRODUCT(_xlfn.XLOOKUP(INDIRECT("R[-4]C", 0), LO[Likelihood], LO[Value]),_xlfn.XLOOKUP(INDIRECT("R[-3]C", 0), FE[Frequency], FE[Value]),_xlfn.XLOOKUP(INDIRECT("R[-2]C", 0), DPH[Severity], DPH[Value]),_xlfn.XLOOKUP(INDIRECT("R[-1]C", 0), NP[At Risk], NP[Value])))</f>
        <v>PENDING</v>
      </c>
      <c r="O61" s="38"/>
      <c r="P61" s="20"/>
      <c r="Q61" s="20"/>
      <c r="R61" s="20"/>
      <c r="S61" s="20"/>
      <c r="T61" s="20"/>
      <c r="U61" s="20"/>
      <c r="V61" s="20"/>
      <c r="W61" s="20"/>
      <c r="X61" s="20"/>
      <c r="Y61" s="20"/>
      <c r="Z61" s="20"/>
      <c r="AA61" s="20"/>
      <c r="AB61" s="20"/>
      <c r="AC61" s="20"/>
      <c r="AD61" s="20"/>
    </row>
    <row r="62" spans="1:30" ht="9" customHeight="1" x14ac:dyDescent="0.3">
      <c r="A62" s="58">
        <v>12</v>
      </c>
      <c r="B62" s="46" t="s">
        <v>73</v>
      </c>
      <c r="C62" s="47"/>
      <c r="D62" s="48"/>
      <c r="E62" s="46" t="s">
        <v>85</v>
      </c>
      <c r="F62" s="48"/>
      <c r="G62" s="32" t="s">
        <v>42</v>
      </c>
      <c r="H62" s="17"/>
      <c r="I62" s="18"/>
      <c r="J62" s="46" t="s">
        <v>97</v>
      </c>
      <c r="K62" s="47"/>
      <c r="L62" s="48"/>
      <c r="M62" s="32" t="s">
        <v>42</v>
      </c>
      <c r="N62" s="17"/>
      <c r="O62" s="33"/>
      <c r="P62" s="20"/>
      <c r="Q62" s="20"/>
      <c r="R62" s="20"/>
      <c r="S62" s="20"/>
      <c r="T62" s="20"/>
      <c r="U62" s="20"/>
      <c r="V62" s="20"/>
      <c r="W62" s="20"/>
      <c r="X62" s="20"/>
      <c r="Y62" s="20"/>
      <c r="Z62" s="20"/>
      <c r="AA62" s="20"/>
      <c r="AB62" s="20"/>
      <c r="AC62" s="20"/>
      <c r="AD62" s="20"/>
    </row>
    <row r="63" spans="1:30" ht="9" customHeight="1" x14ac:dyDescent="0.3">
      <c r="A63" s="58"/>
      <c r="B63" s="40"/>
      <c r="C63" s="41"/>
      <c r="D63" s="42"/>
      <c r="E63" s="40"/>
      <c r="F63" s="42"/>
      <c r="G63" s="32" t="s">
        <v>33</v>
      </c>
      <c r="H63" s="19"/>
      <c r="I63" s="19"/>
      <c r="J63" s="40"/>
      <c r="K63" s="41"/>
      <c r="L63" s="42"/>
      <c r="M63" s="32" t="s">
        <v>33</v>
      </c>
      <c r="N63" s="19"/>
      <c r="O63" s="34"/>
      <c r="P63" s="20"/>
      <c r="Q63" s="20"/>
      <c r="R63" s="20"/>
      <c r="S63" s="20"/>
      <c r="T63" s="20"/>
      <c r="U63" s="20"/>
      <c r="V63" s="20"/>
      <c r="W63" s="20"/>
      <c r="X63" s="20"/>
      <c r="Y63" s="20"/>
      <c r="Z63" s="20"/>
      <c r="AA63" s="20"/>
      <c r="AB63" s="20"/>
      <c r="AC63" s="20"/>
      <c r="AD63" s="20"/>
    </row>
    <row r="64" spans="1:30" ht="9" customHeight="1" x14ac:dyDescent="0.3">
      <c r="A64" s="58"/>
      <c r="B64" s="40"/>
      <c r="C64" s="41"/>
      <c r="D64" s="42"/>
      <c r="E64" s="40"/>
      <c r="F64" s="42"/>
      <c r="G64" s="32" t="s">
        <v>34</v>
      </c>
      <c r="H64" s="19"/>
      <c r="I64" s="19"/>
      <c r="J64" s="40"/>
      <c r="K64" s="41"/>
      <c r="L64" s="42"/>
      <c r="M64" s="32" t="s">
        <v>34</v>
      </c>
      <c r="N64" s="19"/>
      <c r="O64" s="34"/>
      <c r="P64" s="20"/>
      <c r="Q64" s="20"/>
      <c r="R64" s="20"/>
      <c r="S64" s="20"/>
      <c r="T64" s="20"/>
      <c r="U64" s="20"/>
      <c r="V64" s="20"/>
      <c r="W64" s="20"/>
      <c r="X64" s="20"/>
      <c r="Y64" s="20"/>
      <c r="Z64" s="20"/>
      <c r="AA64" s="20"/>
      <c r="AB64" s="20"/>
      <c r="AC64" s="20"/>
      <c r="AD64" s="20"/>
    </row>
    <row r="65" spans="1:30" ht="9" customHeight="1" thickBot="1" x14ac:dyDescent="0.35">
      <c r="A65" s="58"/>
      <c r="B65" s="40"/>
      <c r="C65" s="41"/>
      <c r="D65" s="42"/>
      <c r="E65" s="40"/>
      <c r="F65" s="42"/>
      <c r="G65" s="32" t="s">
        <v>43</v>
      </c>
      <c r="H65" s="19"/>
      <c r="I65" s="19"/>
      <c r="J65" s="40"/>
      <c r="K65" s="41"/>
      <c r="L65" s="42"/>
      <c r="M65" s="32" t="s">
        <v>43</v>
      </c>
      <c r="N65" s="19"/>
      <c r="O65" s="34"/>
      <c r="P65" s="20"/>
      <c r="Q65" s="20"/>
      <c r="R65" s="20"/>
      <c r="S65" s="20"/>
      <c r="T65" s="20"/>
      <c r="U65" s="20"/>
      <c r="V65" s="20"/>
      <c r="W65" s="20"/>
      <c r="X65" s="20"/>
      <c r="Y65" s="20"/>
      <c r="Z65" s="20"/>
      <c r="AA65" s="20"/>
      <c r="AB65" s="20"/>
      <c r="AC65" s="20"/>
      <c r="AD65" s="20"/>
    </row>
    <row r="66" spans="1:30" ht="9" customHeight="1" thickBot="1" x14ac:dyDescent="0.35">
      <c r="A66" s="58"/>
      <c r="B66" s="43"/>
      <c r="C66" s="44"/>
      <c r="D66" s="45"/>
      <c r="E66" s="43"/>
      <c r="F66" s="45"/>
      <c r="G66" s="22" t="s">
        <v>46</v>
      </c>
      <c r="H66" s="37" t="str">
        <f ca="1">IF(OR(ISNA(_xlfn.XLOOKUP(INDIRECT("R[-4]C", 0), LO[Likelihood], LO[Value])),ISNA(_xlfn.XLOOKUP(INDIRECT("R[-3]C", 0), FE[Frequency], FE[Value])),ISNA(_xlfn.XLOOKUP(INDIRECT("R[-2]C", 0), DPH[Severity], DPH[Value])),ISNA(_xlfn.XLOOKUP(INDIRECT("R[-1]C", 0), NP[At Risk], NP[Value]))),"PENDING",PRODUCT(_xlfn.XLOOKUP(INDIRECT("R[-4]C", 0), LO[Likelihood], LO[Value]),_xlfn.XLOOKUP(INDIRECT("R[-3]C", 0), FE[Frequency], FE[Value]),_xlfn.XLOOKUP(INDIRECT("R[-2]C", 0), DPH[Severity], DPH[Value]),_xlfn.XLOOKUP(INDIRECT("R[-1]C", 0), NP[At Risk], NP[Value])))</f>
        <v>PENDING</v>
      </c>
      <c r="I66" s="39"/>
      <c r="J66" s="43"/>
      <c r="K66" s="44"/>
      <c r="L66" s="45"/>
      <c r="M66" s="22" t="s">
        <v>46</v>
      </c>
      <c r="N66" s="37" t="str">
        <f ca="1">IF(OR(ISNA(_xlfn.XLOOKUP(INDIRECT("R[-4]C", 0), LO[Likelihood], LO[Value])),ISNA(_xlfn.XLOOKUP(INDIRECT("R[-3]C", 0), FE[Frequency], FE[Value])),ISNA(_xlfn.XLOOKUP(INDIRECT("R[-2]C", 0), DPH[Severity], DPH[Value])),ISNA(_xlfn.XLOOKUP(INDIRECT("R[-1]C", 0), NP[At Risk], NP[Value]))),"PENDING",PRODUCT(_xlfn.XLOOKUP(INDIRECT("R[-4]C", 0), LO[Likelihood], LO[Value]),_xlfn.XLOOKUP(INDIRECT("R[-3]C", 0), FE[Frequency], FE[Value]),_xlfn.XLOOKUP(INDIRECT("R[-2]C", 0), DPH[Severity], DPH[Value]),_xlfn.XLOOKUP(INDIRECT("R[-1]C", 0), NP[At Risk], NP[Value])))</f>
        <v>PENDING</v>
      </c>
      <c r="O66" s="38"/>
      <c r="P66" s="20"/>
      <c r="Q66" s="20"/>
      <c r="R66" s="20"/>
      <c r="S66" s="20"/>
      <c r="T66" s="20"/>
      <c r="U66" s="20"/>
      <c r="V66" s="20"/>
      <c r="W66" s="20"/>
      <c r="X66" s="20"/>
      <c r="Y66" s="20"/>
      <c r="Z66" s="20"/>
      <c r="AA66" s="20"/>
      <c r="AB66" s="20"/>
      <c r="AC66" s="20"/>
      <c r="AD66" s="20"/>
    </row>
    <row r="67" spans="1:30" ht="9" customHeight="1" x14ac:dyDescent="0.3">
      <c r="B67" s="31"/>
      <c r="C67" s="31"/>
      <c r="D67" s="31"/>
      <c r="E67" s="31"/>
      <c r="F67" s="31"/>
      <c r="G67" s="31"/>
      <c r="H67" s="31"/>
      <c r="I67" s="31"/>
      <c r="J67" s="31"/>
      <c r="K67" s="31"/>
      <c r="L67" s="31"/>
      <c r="M67" s="31"/>
      <c r="N67" s="31"/>
      <c r="O67" s="31"/>
      <c r="P67" s="20"/>
      <c r="Q67" s="20"/>
      <c r="R67" s="20"/>
      <c r="S67" s="20"/>
      <c r="T67" s="20"/>
      <c r="U67" s="20"/>
      <c r="V67" s="20"/>
      <c r="W67" s="20"/>
      <c r="X67" s="20"/>
      <c r="Y67" s="20"/>
      <c r="Z67" s="20"/>
      <c r="AA67" s="20"/>
      <c r="AB67" s="20"/>
      <c r="AC67" s="20"/>
      <c r="AD67" s="20"/>
    </row>
    <row r="68" spans="1:30" ht="9" customHeight="1" x14ac:dyDescent="0.3">
      <c r="B68" s="30"/>
      <c r="C68" s="30"/>
      <c r="D68" s="30"/>
      <c r="E68" s="30"/>
      <c r="F68" s="30"/>
      <c r="G68" s="30"/>
      <c r="H68" s="30"/>
      <c r="I68" s="30"/>
      <c r="J68" s="30"/>
      <c r="K68" s="30"/>
      <c r="L68" s="30"/>
      <c r="M68" s="30"/>
      <c r="N68" s="30"/>
      <c r="O68" s="30"/>
      <c r="P68" s="20"/>
      <c r="Q68" s="20"/>
      <c r="R68" s="20"/>
      <c r="S68" s="20"/>
      <c r="T68" s="20"/>
      <c r="U68" s="20"/>
      <c r="V68" s="20"/>
      <c r="W68" s="20"/>
      <c r="X68" s="20"/>
      <c r="Y68" s="20"/>
      <c r="Z68" s="20"/>
      <c r="AA68" s="20"/>
      <c r="AB68" s="20"/>
      <c r="AC68" s="20"/>
      <c r="AD68" s="20"/>
    </row>
    <row r="69" spans="1:30" ht="9" customHeight="1" x14ac:dyDescent="0.3">
      <c r="B69" s="30"/>
      <c r="C69" s="30"/>
      <c r="D69" s="30"/>
      <c r="E69" s="30"/>
      <c r="F69" s="30"/>
      <c r="G69" s="30"/>
      <c r="H69" s="30"/>
      <c r="I69" s="30"/>
      <c r="J69" s="30"/>
      <c r="K69" s="30"/>
      <c r="L69" s="30"/>
      <c r="M69" s="30"/>
      <c r="N69" s="30"/>
      <c r="O69" s="30"/>
      <c r="P69" s="20"/>
      <c r="Q69" s="20"/>
      <c r="R69" s="20"/>
      <c r="S69" s="20"/>
      <c r="T69" s="20"/>
      <c r="U69" s="20"/>
      <c r="V69" s="20"/>
      <c r="W69" s="20"/>
      <c r="X69" s="20"/>
      <c r="Y69" s="20"/>
      <c r="Z69" s="20"/>
      <c r="AA69" s="20"/>
      <c r="AB69" s="20"/>
      <c r="AC69" s="20"/>
      <c r="AD69" s="20"/>
    </row>
    <row r="70" spans="1:30" ht="9" customHeight="1" x14ac:dyDescent="0.3">
      <c r="B70" s="30"/>
      <c r="C70" s="30"/>
      <c r="D70" s="30"/>
      <c r="E70" s="30"/>
      <c r="F70" s="30"/>
      <c r="G70" s="30"/>
      <c r="H70" s="30"/>
      <c r="I70" s="30"/>
      <c r="J70" s="30"/>
      <c r="K70" s="30"/>
      <c r="L70" s="30"/>
      <c r="M70" s="30"/>
      <c r="N70" s="30"/>
      <c r="O70" s="30"/>
      <c r="P70" s="20"/>
      <c r="Q70" s="20"/>
      <c r="R70" s="20"/>
      <c r="S70" s="20"/>
      <c r="T70" s="20"/>
      <c r="U70" s="20"/>
      <c r="V70" s="20"/>
      <c r="W70" s="20"/>
      <c r="X70" s="20"/>
      <c r="Y70" s="20"/>
      <c r="Z70" s="20"/>
      <c r="AA70" s="20"/>
      <c r="AB70" s="20"/>
      <c r="AC70" s="20"/>
      <c r="AD70" s="20"/>
    </row>
    <row r="71" spans="1:30" ht="9" customHeight="1" x14ac:dyDescent="0.3">
      <c r="B71" s="30"/>
      <c r="C71" s="30"/>
      <c r="D71" s="30"/>
      <c r="E71" s="30"/>
      <c r="F71" s="30"/>
      <c r="G71" s="30"/>
      <c r="H71" s="30"/>
      <c r="I71" s="30"/>
      <c r="J71" s="30"/>
      <c r="K71" s="30"/>
      <c r="L71" s="30"/>
      <c r="M71" s="30"/>
      <c r="N71" s="30"/>
      <c r="O71" s="30"/>
      <c r="P71" s="20"/>
      <c r="Q71" s="20"/>
      <c r="R71" s="20"/>
      <c r="S71" s="20"/>
      <c r="T71" s="20"/>
      <c r="U71" s="20"/>
      <c r="V71" s="20"/>
      <c r="W71" s="20"/>
      <c r="X71" s="20"/>
      <c r="Y71" s="20"/>
      <c r="Z71" s="20"/>
      <c r="AA71" s="20"/>
      <c r="AB71" s="20"/>
      <c r="AC71" s="20"/>
      <c r="AD71" s="20"/>
    </row>
    <row r="72" spans="1:30" ht="9" customHeight="1" thickBot="1" x14ac:dyDescent="0.35">
      <c r="B72" s="30"/>
      <c r="C72" s="30"/>
      <c r="D72" s="30"/>
      <c r="E72" s="30"/>
      <c r="F72" s="30"/>
      <c r="G72" s="30"/>
      <c r="H72" s="30"/>
      <c r="I72" s="30"/>
      <c r="J72" s="30"/>
      <c r="K72" s="30"/>
      <c r="L72" s="30"/>
      <c r="M72" s="30"/>
      <c r="N72" s="30"/>
      <c r="O72" s="30"/>
      <c r="P72" s="20"/>
      <c r="Q72" s="20"/>
      <c r="R72" s="20"/>
      <c r="S72" s="20"/>
      <c r="T72" s="20"/>
      <c r="U72" s="20"/>
      <c r="V72" s="20"/>
      <c r="W72" s="20"/>
      <c r="X72" s="20"/>
      <c r="Y72" s="20"/>
      <c r="Z72" s="20"/>
      <c r="AA72" s="20"/>
      <c r="AB72" s="20"/>
      <c r="AC72" s="20"/>
      <c r="AD72" s="20"/>
    </row>
    <row r="73" spans="1:30" ht="14.55" customHeight="1" x14ac:dyDescent="0.3">
      <c r="B73" s="51" t="s">
        <v>45</v>
      </c>
      <c r="C73" s="52"/>
      <c r="D73" s="53"/>
      <c r="E73" s="49" t="s">
        <v>60</v>
      </c>
      <c r="F73" s="50"/>
      <c r="G73" s="51" t="s">
        <v>47</v>
      </c>
      <c r="H73" s="52"/>
      <c r="I73" s="50"/>
      <c r="J73" s="51" t="s">
        <v>50</v>
      </c>
      <c r="K73" s="52"/>
      <c r="L73" s="53"/>
      <c r="M73" s="51" t="s">
        <v>44</v>
      </c>
      <c r="N73" s="52"/>
      <c r="O73" s="53"/>
    </row>
    <row r="74" spans="1:30" ht="9" customHeight="1" x14ac:dyDescent="0.3">
      <c r="A74" s="58">
        <v>13</v>
      </c>
      <c r="B74" s="40" t="s">
        <v>99</v>
      </c>
      <c r="C74" s="41"/>
      <c r="D74" s="42"/>
      <c r="E74" s="40" t="s">
        <v>98</v>
      </c>
      <c r="F74" s="42"/>
      <c r="G74" s="32" t="s">
        <v>42</v>
      </c>
      <c r="H74" s="17"/>
      <c r="I74" s="18"/>
      <c r="J74" s="40" t="s">
        <v>100</v>
      </c>
      <c r="K74" s="41"/>
      <c r="L74" s="42"/>
      <c r="M74" s="32" t="s">
        <v>42</v>
      </c>
      <c r="N74" s="17"/>
      <c r="O74" s="33"/>
    </row>
    <row r="75" spans="1:30" ht="9" customHeight="1" x14ac:dyDescent="0.3">
      <c r="A75" s="58"/>
      <c r="B75" s="40"/>
      <c r="C75" s="41"/>
      <c r="D75" s="42"/>
      <c r="E75" s="40"/>
      <c r="F75" s="42"/>
      <c r="G75" s="32" t="s">
        <v>33</v>
      </c>
      <c r="H75" s="19"/>
      <c r="I75" s="19"/>
      <c r="J75" s="40"/>
      <c r="K75" s="41"/>
      <c r="L75" s="42"/>
      <c r="M75" s="32" t="s">
        <v>33</v>
      </c>
      <c r="N75" s="19"/>
      <c r="O75" s="34"/>
    </row>
    <row r="76" spans="1:30" ht="9" customHeight="1" x14ac:dyDescent="0.3">
      <c r="A76" s="58"/>
      <c r="B76" s="40"/>
      <c r="C76" s="41"/>
      <c r="D76" s="42"/>
      <c r="E76" s="40"/>
      <c r="F76" s="42"/>
      <c r="G76" s="32" t="s">
        <v>34</v>
      </c>
      <c r="H76" s="19"/>
      <c r="I76" s="19"/>
      <c r="J76" s="40"/>
      <c r="K76" s="41"/>
      <c r="L76" s="42"/>
      <c r="M76" s="32" t="s">
        <v>34</v>
      </c>
      <c r="N76" s="19"/>
      <c r="O76" s="34"/>
    </row>
    <row r="77" spans="1:30" ht="9" customHeight="1" thickBot="1" x14ac:dyDescent="0.35">
      <c r="A77" s="58"/>
      <c r="B77" s="40"/>
      <c r="C77" s="41"/>
      <c r="D77" s="42"/>
      <c r="E77" s="40"/>
      <c r="F77" s="42"/>
      <c r="G77" s="32" t="s">
        <v>43</v>
      </c>
      <c r="H77" s="19"/>
      <c r="I77" s="19"/>
      <c r="J77" s="40"/>
      <c r="K77" s="41"/>
      <c r="L77" s="42"/>
      <c r="M77" s="32" t="s">
        <v>43</v>
      </c>
      <c r="N77" s="19"/>
      <c r="O77" s="34"/>
    </row>
    <row r="78" spans="1:30" ht="9" customHeight="1" thickBot="1" x14ac:dyDescent="0.35">
      <c r="A78" s="58"/>
      <c r="B78" s="43"/>
      <c r="C78" s="44"/>
      <c r="D78" s="45"/>
      <c r="E78" s="43"/>
      <c r="F78" s="45"/>
      <c r="G78" s="22" t="s">
        <v>46</v>
      </c>
      <c r="H78" s="37" t="str">
        <f ca="1">IF(OR(ISNA(_xlfn.XLOOKUP(INDIRECT("R[-4]C", 0), LO[Likelihood], LO[Value])),ISNA(_xlfn.XLOOKUP(INDIRECT("R[-3]C", 0), FE[Frequency], FE[Value])),ISNA(_xlfn.XLOOKUP(INDIRECT("R[-2]C", 0), DPH[Severity], DPH[Value])),ISNA(_xlfn.XLOOKUP(INDIRECT("R[-1]C", 0), NP[At Risk], NP[Value]))),"PENDING",PRODUCT(_xlfn.XLOOKUP(INDIRECT("R[-4]C", 0), LO[Likelihood], LO[Value]),_xlfn.XLOOKUP(INDIRECT("R[-3]C", 0), FE[Frequency], FE[Value]),_xlfn.XLOOKUP(INDIRECT("R[-2]C", 0), DPH[Severity], DPH[Value]),_xlfn.XLOOKUP(INDIRECT("R[-1]C", 0), NP[At Risk], NP[Value])))</f>
        <v>PENDING</v>
      </c>
      <c r="I78" s="39"/>
      <c r="J78" s="43"/>
      <c r="K78" s="44"/>
      <c r="L78" s="45"/>
      <c r="M78" s="22" t="s">
        <v>46</v>
      </c>
      <c r="N78" s="37" t="str">
        <f ca="1">IF(OR(ISNA(_xlfn.XLOOKUP(INDIRECT("R[-4]C", 0), LO[Likelihood], LO[Value])),ISNA(_xlfn.XLOOKUP(INDIRECT("R[-3]C", 0), FE[Frequency], FE[Value])),ISNA(_xlfn.XLOOKUP(INDIRECT("R[-2]C", 0), DPH[Severity], DPH[Value])),ISNA(_xlfn.XLOOKUP(INDIRECT("R[-1]C", 0), NP[At Risk], NP[Value]))),"PENDING",PRODUCT(_xlfn.XLOOKUP(INDIRECT("R[-4]C", 0), LO[Likelihood], LO[Value]),_xlfn.XLOOKUP(INDIRECT("R[-3]C", 0), FE[Frequency], FE[Value]),_xlfn.XLOOKUP(INDIRECT("R[-2]C", 0), DPH[Severity], DPH[Value]),_xlfn.XLOOKUP(INDIRECT("R[-1]C", 0), NP[At Risk], NP[Value])))</f>
        <v>PENDING</v>
      </c>
      <c r="O78" s="38"/>
    </row>
    <row r="79" spans="1:30" ht="9" customHeight="1" x14ac:dyDescent="0.3">
      <c r="A79" s="58">
        <v>14</v>
      </c>
      <c r="B79" s="40" t="s">
        <v>123</v>
      </c>
      <c r="C79" s="41"/>
      <c r="D79" s="42"/>
      <c r="E79" s="40" t="s">
        <v>112</v>
      </c>
      <c r="F79" s="42"/>
      <c r="G79" s="32" t="s">
        <v>42</v>
      </c>
      <c r="H79" s="17"/>
      <c r="I79" s="18"/>
      <c r="J79" s="40" t="s">
        <v>101</v>
      </c>
      <c r="K79" s="41"/>
      <c r="L79" s="42"/>
      <c r="M79" s="32" t="s">
        <v>42</v>
      </c>
      <c r="N79" s="17"/>
      <c r="O79" s="33"/>
    </row>
    <row r="80" spans="1:30" ht="9" customHeight="1" x14ac:dyDescent="0.3">
      <c r="A80" s="58"/>
      <c r="B80" s="40"/>
      <c r="C80" s="41"/>
      <c r="D80" s="42"/>
      <c r="E80" s="40"/>
      <c r="F80" s="42"/>
      <c r="G80" s="32" t="s">
        <v>33</v>
      </c>
      <c r="H80" s="19"/>
      <c r="I80" s="19"/>
      <c r="J80" s="40"/>
      <c r="K80" s="41"/>
      <c r="L80" s="42"/>
      <c r="M80" s="32" t="s">
        <v>33</v>
      </c>
      <c r="N80" s="19"/>
      <c r="O80" s="34"/>
    </row>
    <row r="81" spans="1:15" ht="9" customHeight="1" x14ac:dyDescent="0.3">
      <c r="A81" s="58"/>
      <c r="B81" s="40"/>
      <c r="C81" s="41"/>
      <c r="D81" s="42"/>
      <c r="E81" s="40"/>
      <c r="F81" s="42"/>
      <c r="G81" s="32" t="s">
        <v>34</v>
      </c>
      <c r="H81" s="19"/>
      <c r="I81" s="19"/>
      <c r="J81" s="40"/>
      <c r="K81" s="41"/>
      <c r="L81" s="42"/>
      <c r="M81" s="32" t="s">
        <v>34</v>
      </c>
      <c r="N81" s="19"/>
      <c r="O81" s="34"/>
    </row>
    <row r="82" spans="1:15" ht="9" customHeight="1" thickBot="1" x14ac:dyDescent="0.35">
      <c r="A82" s="58"/>
      <c r="B82" s="40"/>
      <c r="C82" s="41"/>
      <c r="D82" s="42"/>
      <c r="E82" s="40"/>
      <c r="F82" s="42"/>
      <c r="G82" s="32" t="s">
        <v>43</v>
      </c>
      <c r="H82" s="19"/>
      <c r="I82" s="19"/>
      <c r="J82" s="40"/>
      <c r="K82" s="41"/>
      <c r="L82" s="42"/>
      <c r="M82" s="32" t="s">
        <v>43</v>
      </c>
      <c r="N82" s="19"/>
      <c r="O82" s="34"/>
    </row>
    <row r="83" spans="1:15" ht="9" customHeight="1" thickBot="1" x14ac:dyDescent="0.35">
      <c r="A83" s="58"/>
      <c r="B83" s="43"/>
      <c r="C83" s="44"/>
      <c r="D83" s="45"/>
      <c r="E83" s="43"/>
      <c r="F83" s="45"/>
      <c r="G83" s="22" t="s">
        <v>46</v>
      </c>
      <c r="H83" s="37" t="str">
        <f ca="1">IF(OR(ISNA(_xlfn.XLOOKUP(INDIRECT("R[-4]C", 0), LO[Likelihood], LO[Value])),ISNA(_xlfn.XLOOKUP(INDIRECT("R[-3]C", 0), FE[Frequency], FE[Value])),ISNA(_xlfn.XLOOKUP(INDIRECT("R[-2]C", 0), DPH[Severity], DPH[Value])),ISNA(_xlfn.XLOOKUP(INDIRECT("R[-1]C", 0), NP[At Risk], NP[Value]))),"PENDING",PRODUCT(_xlfn.XLOOKUP(INDIRECT("R[-4]C", 0), LO[Likelihood], LO[Value]),_xlfn.XLOOKUP(INDIRECT("R[-3]C", 0), FE[Frequency], FE[Value]),_xlfn.XLOOKUP(INDIRECT("R[-2]C", 0), DPH[Severity], DPH[Value]),_xlfn.XLOOKUP(INDIRECT("R[-1]C", 0), NP[At Risk], NP[Value])))</f>
        <v>PENDING</v>
      </c>
      <c r="I83" s="39"/>
      <c r="J83" s="43"/>
      <c r="K83" s="44"/>
      <c r="L83" s="45"/>
      <c r="M83" s="22" t="s">
        <v>46</v>
      </c>
      <c r="N83" s="37" t="str">
        <f ca="1">IF(OR(ISNA(_xlfn.XLOOKUP(INDIRECT("R[-4]C", 0), LO[Likelihood], LO[Value])),ISNA(_xlfn.XLOOKUP(INDIRECT("R[-3]C", 0), FE[Frequency], FE[Value])),ISNA(_xlfn.XLOOKUP(INDIRECT("R[-2]C", 0), DPH[Severity], DPH[Value])),ISNA(_xlfn.XLOOKUP(INDIRECT("R[-1]C", 0), NP[At Risk], NP[Value]))),"PENDING",PRODUCT(_xlfn.XLOOKUP(INDIRECT("R[-4]C", 0), LO[Likelihood], LO[Value]),_xlfn.XLOOKUP(INDIRECT("R[-3]C", 0), FE[Frequency], FE[Value]),_xlfn.XLOOKUP(INDIRECT("R[-2]C", 0), DPH[Severity], DPH[Value]),_xlfn.XLOOKUP(INDIRECT("R[-1]C", 0), NP[At Risk], NP[Value])))</f>
        <v>PENDING</v>
      </c>
      <c r="O83" s="38"/>
    </row>
    <row r="84" spans="1:15" ht="9" customHeight="1" x14ac:dyDescent="0.3">
      <c r="A84" s="58">
        <v>15</v>
      </c>
      <c r="B84" s="40" t="s">
        <v>124</v>
      </c>
      <c r="C84" s="41"/>
      <c r="D84" s="42"/>
      <c r="E84" s="40" t="s">
        <v>113</v>
      </c>
      <c r="F84" s="42"/>
      <c r="G84" s="32" t="s">
        <v>42</v>
      </c>
      <c r="H84" s="17"/>
      <c r="I84" s="18"/>
      <c r="J84" s="40" t="s">
        <v>102</v>
      </c>
      <c r="K84" s="41"/>
      <c r="L84" s="42"/>
      <c r="M84" s="32" t="s">
        <v>42</v>
      </c>
      <c r="N84" s="17"/>
      <c r="O84" s="33"/>
    </row>
    <row r="85" spans="1:15" ht="9" customHeight="1" x14ac:dyDescent="0.3">
      <c r="A85" s="58"/>
      <c r="B85" s="40"/>
      <c r="C85" s="41"/>
      <c r="D85" s="42"/>
      <c r="E85" s="40"/>
      <c r="F85" s="42"/>
      <c r="G85" s="32" t="s">
        <v>33</v>
      </c>
      <c r="H85" s="19"/>
      <c r="I85" s="19"/>
      <c r="J85" s="40"/>
      <c r="K85" s="41"/>
      <c r="L85" s="42"/>
      <c r="M85" s="32" t="s">
        <v>33</v>
      </c>
      <c r="N85" s="19"/>
      <c r="O85" s="34"/>
    </row>
    <row r="86" spans="1:15" ht="9" customHeight="1" x14ac:dyDescent="0.3">
      <c r="A86" s="58"/>
      <c r="B86" s="40"/>
      <c r="C86" s="41"/>
      <c r="D86" s="42"/>
      <c r="E86" s="40"/>
      <c r="F86" s="42"/>
      <c r="G86" s="32" t="s">
        <v>34</v>
      </c>
      <c r="H86" s="19"/>
      <c r="I86" s="19"/>
      <c r="J86" s="40"/>
      <c r="K86" s="41"/>
      <c r="L86" s="42"/>
      <c r="M86" s="32" t="s">
        <v>34</v>
      </c>
      <c r="N86" s="19"/>
      <c r="O86" s="34"/>
    </row>
    <row r="87" spans="1:15" ht="9" customHeight="1" thickBot="1" x14ac:dyDescent="0.35">
      <c r="A87" s="58"/>
      <c r="B87" s="40"/>
      <c r="C87" s="41"/>
      <c r="D87" s="42"/>
      <c r="E87" s="40"/>
      <c r="F87" s="42"/>
      <c r="G87" s="32" t="s">
        <v>43</v>
      </c>
      <c r="H87" s="19"/>
      <c r="I87" s="19"/>
      <c r="J87" s="40"/>
      <c r="K87" s="41"/>
      <c r="L87" s="42"/>
      <c r="M87" s="32" t="s">
        <v>43</v>
      </c>
      <c r="N87" s="19"/>
      <c r="O87" s="34"/>
    </row>
    <row r="88" spans="1:15" ht="9" customHeight="1" thickBot="1" x14ac:dyDescent="0.35">
      <c r="A88" s="58"/>
      <c r="B88" s="43"/>
      <c r="C88" s="44"/>
      <c r="D88" s="45"/>
      <c r="E88" s="43"/>
      <c r="F88" s="45"/>
      <c r="G88" s="22" t="s">
        <v>46</v>
      </c>
      <c r="H88" s="37" t="str">
        <f ca="1">IF(OR(ISNA(_xlfn.XLOOKUP(INDIRECT("R[-4]C", 0), LO[Likelihood], LO[Value])),ISNA(_xlfn.XLOOKUP(INDIRECT("R[-3]C", 0), FE[Frequency], FE[Value])),ISNA(_xlfn.XLOOKUP(INDIRECT("R[-2]C", 0), DPH[Severity], DPH[Value])),ISNA(_xlfn.XLOOKUP(INDIRECT("R[-1]C", 0), NP[At Risk], NP[Value]))),"PENDING",PRODUCT(_xlfn.XLOOKUP(INDIRECT("R[-4]C", 0), LO[Likelihood], LO[Value]),_xlfn.XLOOKUP(INDIRECT("R[-3]C", 0), FE[Frequency], FE[Value]),_xlfn.XLOOKUP(INDIRECT("R[-2]C", 0), DPH[Severity], DPH[Value]),_xlfn.XLOOKUP(INDIRECT("R[-1]C", 0), NP[At Risk], NP[Value])))</f>
        <v>PENDING</v>
      </c>
      <c r="I88" s="39"/>
      <c r="J88" s="43"/>
      <c r="K88" s="44"/>
      <c r="L88" s="45"/>
      <c r="M88" s="22" t="s">
        <v>46</v>
      </c>
      <c r="N88" s="37" t="str">
        <f ca="1">IF(OR(ISNA(_xlfn.XLOOKUP(INDIRECT("R[-4]C", 0), LO[Likelihood], LO[Value])),ISNA(_xlfn.XLOOKUP(INDIRECT("R[-3]C", 0), FE[Frequency], FE[Value])),ISNA(_xlfn.XLOOKUP(INDIRECT("R[-2]C", 0), DPH[Severity], DPH[Value])),ISNA(_xlfn.XLOOKUP(INDIRECT("R[-1]C", 0), NP[At Risk], NP[Value]))),"PENDING",PRODUCT(_xlfn.XLOOKUP(INDIRECT("R[-4]C", 0), LO[Likelihood], LO[Value]),_xlfn.XLOOKUP(INDIRECT("R[-3]C", 0), FE[Frequency], FE[Value]),_xlfn.XLOOKUP(INDIRECT("R[-2]C", 0), DPH[Severity], DPH[Value]),_xlfn.XLOOKUP(INDIRECT("R[-1]C", 0), NP[At Risk], NP[Value])))</f>
        <v>PENDING</v>
      </c>
      <c r="O88" s="38"/>
    </row>
    <row r="89" spans="1:15" ht="9" customHeight="1" x14ac:dyDescent="0.3">
      <c r="A89" s="58">
        <v>16</v>
      </c>
      <c r="B89" s="40" t="s">
        <v>125</v>
      </c>
      <c r="C89" s="41"/>
      <c r="D89" s="42"/>
      <c r="E89" s="40" t="s">
        <v>114</v>
      </c>
      <c r="F89" s="42"/>
      <c r="G89" s="32" t="s">
        <v>42</v>
      </c>
      <c r="H89" s="17"/>
      <c r="I89" s="18"/>
      <c r="J89" s="40" t="s">
        <v>103</v>
      </c>
      <c r="K89" s="41"/>
      <c r="L89" s="42"/>
      <c r="M89" s="32" t="s">
        <v>42</v>
      </c>
      <c r="N89" s="17"/>
      <c r="O89" s="33"/>
    </row>
    <row r="90" spans="1:15" ht="9" customHeight="1" x14ac:dyDescent="0.3">
      <c r="A90" s="58"/>
      <c r="B90" s="40"/>
      <c r="C90" s="41"/>
      <c r="D90" s="42"/>
      <c r="E90" s="40"/>
      <c r="F90" s="42"/>
      <c r="G90" s="32" t="s">
        <v>33</v>
      </c>
      <c r="H90" s="19"/>
      <c r="I90" s="19"/>
      <c r="J90" s="40"/>
      <c r="K90" s="41"/>
      <c r="L90" s="42"/>
      <c r="M90" s="32" t="s">
        <v>33</v>
      </c>
      <c r="N90" s="19"/>
      <c r="O90" s="34"/>
    </row>
    <row r="91" spans="1:15" ht="9" customHeight="1" x14ac:dyDescent="0.3">
      <c r="A91" s="58"/>
      <c r="B91" s="40"/>
      <c r="C91" s="41"/>
      <c r="D91" s="42"/>
      <c r="E91" s="40"/>
      <c r="F91" s="42"/>
      <c r="G91" s="32" t="s">
        <v>34</v>
      </c>
      <c r="H91" s="19"/>
      <c r="I91" s="19"/>
      <c r="J91" s="40"/>
      <c r="K91" s="41"/>
      <c r="L91" s="42"/>
      <c r="M91" s="32" t="s">
        <v>34</v>
      </c>
      <c r="N91" s="19"/>
      <c r="O91" s="34"/>
    </row>
    <row r="92" spans="1:15" ht="9" customHeight="1" thickBot="1" x14ac:dyDescent="0.35">
      <c r="A92" s="58"/>
      <c r="B92" s="40"/>
      <c r="C92" s="41"/>
      <c r="D92" s="42"/>
      <c r="E92" s="40"/>
      <c r="F92" s="42"/>
      <c r="G92" s="32" t="s">
        <v>43</v>
      </c>
      <c r="H92" s="19"/>
      <c r="I92" s="19"/>
      <c r="J92" s="40"/>
      <c r="K92" s="41"/>
      <c r="L92" s="42"/>
      <c r="M92" s="32" t="s">
        <v>43</v>
      </c>
      <c r="N92" s="19"/>
      <c r="O92" s="34"/>
    </row>
    <row r="93" spans="1:15" ht="9" customHeight="1" thickBot="1" x14ac:dyDescent="0.35">
      <c r="A93" s="58"/>
      <c r="B93" s="43"/>
      <c r="C93" s="44"/>
      <c r="D93" s="45"/>
      <c r="E93" s="43"/>
      <c r="F93" s="45"/>
      <c r="G93" s="22" t="s">
        <v>46</v>
      </c>
      <c r="H93" s="37" t="str">
        <f ca="1">IF(OR(ISNA(_xlfn.XLOOKUP(INDIRECT("R[-4]C", 0), LO[Likelihood], LO[Value])),ISNA(_xlfn.XLOOKUP(INDIRECT("R[-3]C", 0), FE[Frequency], FE[Value])),ISNA(_xlfn.XLOOKUP(INDIRECT("R[-2]C", 0), DPH[Severity], DPH[Value])),ISNA(_xlfn.XLOOKUP(INDIRECT("R[-1]C", 0), NP[At Risk], NP[Value]))),"PENDING",PRODUCT(_xlfn.XLOOKUP(INDIRECT("R[-4]C", 0), LO[Likelihood], LO[Value]),_xlfn.XLOOKUP(INDIRECT("R[-3]C", 0), FE[Frequency], FE[Value]),_xlfn.XLOOKUP(INDIRECT("R[-2]C", 0), DPH[Severity], DPH[Value]),_xlfn.XLOOKUP(INDIRECT("R[-1]C", 0), NP[At Risk], NP[Value])))</f>
        <v>PENDING</v>
      </c>
      <c r="I93" s="39"/>
      <c r="J93" s="43"/>
      <c r="K93" s="44"/>
      <c r="L93" s="45"/>
      <c r="M93" s="22" t="s">
        <v>46</v>
      </c>
      <c r="N93" s="37" t="str">
        <f ca="1">IF(OR(ISNA(_xlfn.XLOOKUP(INDIRECT("R[-4]C", 0), LO[Likelihood], LO[Value])),ISNA(_xlfn.XLOOKUP(INDIRECT("R[-3]C", 0), FE[Frequency], FE[Value])),ISNA(_xlfn.XLOOKUP(INDIRECT("R[-2]C", 0), DPH[Severity], DPH[Value])),ISNA(_xlfn.XLOOKUP(INDIRECT("R[-1]C", 0), NP[At Risk], NP[Value]))),"PENDING",PRODUCT(_xlfn.XLOOKUP(INDIRECT("R[-4]C", 0), LO[Likelihood], LO[Value]),_xlfn.XLOOKUP(INDIRECT("R[-3]C", 0), FE[Frequency], FE[Value]),_xlfn.XLOOKUP(INDIRECT("R[-2]C", 0), DPH[Severity], DPH[Value]),_xlfn.XLOOKUP(INDIRECT("R[-1]C", 0), NP[At Risk], NP[Value])))</f>
        <v>PENDING</v>
      </c>
      <c r="O93" s="38"/>
    </row>
    <row r="94" spans="1:15" ht="9" customHeight="1" x14ac:dyDescent="0.3">
      <c r="A94" s="58">
        <v>17</v>
      </c>
      <c r="B94" s="40" t="s">
        <v>126</v>
      </c>
      <c r="C94" s="41"/>
      <c r="D94" s="42"/>
      <c r="E94" s="40" t="s">
        <v>115</v>
      </c>
      <c r="F94" s="42"/>
      <c r="G94" s="32" t="s">
        <v>42</v>
      </c>
      <c r="H94" s="17"/>
      <c r="I94" s="18"/>
      <c r="J94" s="40" t="s">
        <v>104</v>
      </c>
      <c r="K94" s="41"/>
      <c r="L94" s="42"/>
      <c r="M94" s="32" t="s">
        <v>42</v>
      </c>
      <c r="N94" s="17"/>
      <c r="O94" s="33"/>
    </row>
    <row r="95" spans="1:15" ht="9" customHeight="1" x14ac:dyDescent="0.3">
      <c r="A95" s="58"/>
      <c r="B95" s="40"/>
      <c r="C95" s="41"/>
      <c r="D95" s="42"/>
      <c r="E95" s="40"/>
      <c r="F95" s="42"/>
      <c r="G95" s="32" t="s">
        <v>33</v>
      </c>
      <c r="H95" s="19"/>
      <c r="I95" s="19"/>
      <c r="J95" s="40"/>
      <c r="K95" s="41"/>
      <c r="L95" s="42"/>
      <c r="M95" s="32" t="s">
        <v>33</v>
      </c>
      <c r="N95" s="19"/>
      <c r="O95" s="34"/>
    </row>
    <row r="96" spans="1:15" ht="9" customHeight="1" x14ac:dyDescent="0.3">
      <c r="A96" s="58"/>
      <c r="B96" s="40"/>
      <c r="C96" s="41"/>
      <c r="D96" s="42"/>
      <c r="E96" s="40"/>
      <c r="F96" s="42"/>
      <c r="G96" s="32" t="s">
        <v>34</v>
      </c>
      <c r="H96" s="19"/>
      <c r="I96" s="19"/>
      <c r="J96" s="40"/>
      <c r="K96" s="41"/>
      <c r="L96" s="42"/>
      <c r="M96" s="32" t="s">
        <v>34</v>
      </c>
      <c r="N96" s="19"/>
      <c r="O96" s="34"/>
    </row>
    <row r="97" spans="1:15" ht="9" customHeight="1" thickBot="1" x14ac:dyDescent="0.35">
      <c r="A97" s="58"/>
      <c r="B97" s="40"/>
      <c r="C97" s="41"/>
      <c r="D97" s="42"/>
      <c r="E97" s="40"/>
      <c r="F97" s="42"/>
      <c r="G97" s="32" t="s">
        <v>43</v>
      </c>
      <c r="H97" s="19"/>
      <c r="I97" s="19"/>
      <c r="J97" s="40"/>
      <c r="K97" s="41"/>
      <c r="L97" s="42"/>
      <c r="M97" s="32" t="s">
        <v>43</v>
      </c>
      <c r="N97" s="19"/>
      <c r="O97" s="34"/>
    </row>
    <row r="98" spans="1:15" ht="9" customHeight="1" thickBot="1" x14ac:dyDescent="0.35">
      <c r="A98" s="58"/>
      <c r="B98" s="43"/>
      <c r="C98" s="44"/>
      <c r="D98" s="45"/>
      <c r="E98" s="43"/>
      <c r="F98" s="45"/>
      <c r="G98" s="22" t="s">
        <v>46</v>
      </c>
      <c r="H98" s="37" t="str">
        <f ca="1">IF(OR(ISNA(_xlfn.XLOOKUP(INDIRECT("R[-4]C", 0), LO[Likelihood], LO[Value])),ISNA(_xlfn.XLOOKUP(INDIRECT("R[-3]C", 0), FE[Frequency], FE[Value])),ISNA(_xlfn.XLOOKUP(INDIRECT("R[-2]C", 0), DPH[Severity], DPH[Value])),ISNA(_xlfn.XLOOKUP(INDIRECT("R[-1]C", 0), NP[At Risk], NP[Value]))),"PENDING",PRODUCT(_xlfn.XLOOKUP(INDIRECT("R[-4]C", 0), LO[Likelihood], LO[Value]),_xlfn.XLOOKUP(INDIRECT("R[-3]C", 0), FE[Frequency], FE[Value]),_xlfn.XLOOKUP(INDIRECT("R[-2]C", 0), DPH[Severity], DPH[Value]),_xlfn.XLOOKUP(INDIRECT("R[-1]C", 0), NP[At Risk], NP[Value])))</f>
        <v>PENDING</v>
      </c>
      <c r="I98" s="39"/>
      <c r="J98" s="43"/>
      <c r="K98" s="44"/>
      <c r="L98" s="45"/>
      <c r="M98" s="22" t="s">
        <v>46</v>
      </c>
      <c r="N98" s="37" t="str">
        <f ca="1">IF(OR(ISNA(_xlfn.XLOOKUP(INDIRECT("R[-4]C", 0), LO[Likelihood], LO[Value])),ISNA(_xlfn.XLOOKUP(INDIRECT("R[-3]C", 0), FE[Frequency], FE[Value])),ISNA(_xlfn.XLOOKUP(INDIRECT("R[-2]C", 0), DPH[Severity], DPH[Value])),ISNA(_xlfn.XLOOKUP(INDIRECT("R[-1]C", 0), NP[At Risk], NP[Value]))),"PENDING",PRODUCT(_xlfn.XLOOKUP(INDIRECT("R[-4]C", 0), LO[Likelihood], LO[Value]),_xlfn.XLOOKUP(INDIRECT("R[-3]C", 0), FE[Frequency], FE[Value]),_xlfn.XLOOKUP(INDIRECT("R[-2]C", 0), DPH[Severity], DPH[Value]),_xlfn.XLOOKUP(INDIRECT("R[-1]C", 0), NP[At Risk], NP[Value])))</f>
        <v>PENDING</v>
      </c>
      <c r="O98" s="38"/>
    </row>
    <row r="99" spans="1:15" ht="9" customHeight="1" x14ac:dyDescent="0.3">
      <c r="A99" s="58">
        <v>18</v>
      </c>
      <c r="B99" s="40" t="s">
        <v>127</v>
      </c>
      <c r="C99" s="41"/>
      <c r="D99" s="42"/>
      <c r="E99" s="40" t="s">
        <v>116</v>
      </c>
      <c r="F99" s="42"/>
      <c r="G99" s="32" t="s">
        <v>42</v>
      </c>
      <c r="H99" s="17"/>
      <c r="I99" s="18"/>
      <c r="J99" s="40" t="s">
        <v>105</v>
      </c>
      <c r="K99" s="41"/>
      <c r="L99" s="42"/>
      <c r="M99" s="32" t="s">
        <v>42</v>
      </c>
      <c r="N99" s="17"/>
      <c r="O99" s="33"/>
    </row>
    <row r="100" spans="1:15" ht="9" customHeight="1" x14ac:dyDescent="0.3">
      <c r="A100" s="58"/>
      <c r="B100" s="40"/>
      <c r="C100" s="41"/>
      <c r="D100" s="42"/>
      <c r="E100" s="40"/>
      <c r="F100" s="42"/>
      <c r="G100" s="32" t="s">
        <v>33</v>
      </c>
      <c r="H100" s="19"/>
      <c r="I100" s="19"/>
      <c r="J100" s="40"/>
      <c r="K100" s="41"/>
      <c r="L100" s="42"/>
      <c r="M100" s="32" t="s">
        <v>33</v>
      </c>
      <c r="N100" s="19"/>
      <c r="O100" s="34"/>
    </row>
    <row r="101" spans="1:15" ht="9" customHeight="1" x14ac:dyDescent="0.3">
      <c r="A101" s="58"/>
      <c r="B101" s="40"/>
      <c r="C101" s="41"/>
      <c r="D101" s="42"/>
      <c r="E101" s="40"/>
      <c r="F101" s="42"/>
      <c r="G101" s="32" t="s">
        <v>34</v>
      </c>
      <c r="H101" s="19"/>
      <c r="I101" s="19"/>
      <c r="J101" s="40"/>
      <c r="K101" s="41"/>
      <c r="L101" s="42"/>
      <c r="M101" s="32" t="s">
        <v>34</v>
      </c>
      <c r="N101" s="19"/>
      <c r="O101" s="34"/>
    </row>
    <row r="102" spans="1:15" ht="9" customHeight="1" thickBot="1" x14ac:dyDescent="0.35">
      <c r="A102" s="58"/>
      <c r="B102" s="40"/>
      <c r="C102" s="41"/>
      <c r="D102" s="42"/>
      <c r="E102" s="40"/>
      <c r="F102" s="42"/>
      <c r="G102" s="32" t="s">
        <v>43</v>
      </c>
      <c r="H102" s="19"/>
      <c r="I102" s="19"/>
      <c r="J102" s="40"/>
      <c r="K102" s="41"/>
      <c r="L102" s="42"/>
      <c r="M102" s="32" t="s">
        <v>43</v>
      </c>
      <c r="N102" s="19"/>
      <c r="O102" s="34"/>
    </row>
    <row r="103" spans="1:15" ht="9" customHeight="1" thickBot="1" x14ac:dyDescent="0.35">
      <c r="A103" s="58"/>
      <c r="B103" s="43"/>
      <c r="C103" s="44"/>
      <c r="D103" s="45"/>
      <c r="E103" s="43"/>
      <c r="F103" s="45"/>
      <c r="G103" s="22" t="s">
        <v>46</v>
      </c>
      <c r="H103" s="37" t="str">
        <f ca="1">IF(OR(ISNA(_xlfn.XLOOKUP(INDIRECT("R[-4]C", 0), LO[Likelihood], LO[Value])),ISNA(_xlfn.XLOOKUP(INDIRECT("R[-3]C", 0), FE[Frequency], FE[Value])),ISNA(_xlfn.XLOOKUP(INDIRECT("R[-2]C", 0), DPH[Severity], DPH[Value])),ISNA(_xlfn.XLOOKUP(INDIRECT("R[-1]C", 0), NP[At Risk], NP[Value]))),"PENDING",PRODUCT(_xlfn.XLOOKUP(INDIRECT("R[-4]C", 0), LO[Likelihood], LO[Value]),_xlfn.XLOOKUP(INDIRECT("R[-3]C", 0), FE[Frequency], FE[Value]),_xlfn.XLOOKUP(INDIRECT("R[-2]C", 0), DPH[Severity], DPH[Value]),_xlfn.XLOOKUP(INDIRECT("R[-1]C", 0), NP[At Risk], NP[Value])))</f>
        <v>PENDING</v>
      </c>
      <c r="I103" s="39"/>
      <c r="J103" s="43"/>
      <c r="K103" s="44"/>
      <c r="L103" s="45"/>
      <c r="M103" s="22" t="s">
        <v>46</v>
      </c>
      <c r="N103" s="37" t="str">
        <f ca="1">IF(OR(ISNA(_xlfn.XLOOKUP(INDIRECT("R[-4]C", 0), LO[Likelihood], LO[Value])),ISNA(_xlfn.XLOOKUP(INDIRECT("R[-3]C", 0), FE[Frequency], FE[Value])),ISNA(_xlfn.XLOOKUP(INDIRECT("R[-2]C", 0), DPH[Severity], DPH[Value])),ISNA(_xlfn.XLOOKUP(INDIRECT("R[-1]C", 0), NP[At Risk], NP[Value]))),"PENDING",PRODUCT(_xlfn.XLOOKUP(INDIRECT("R[-4]C", 0), LO[Likelihood], LO[Value]),_xlfn.XLOOKUP(INDIRECT("R[-3]C", 0), FE[Frequency], FE[Value]),_xlfn.XLOOKUP(INDIRECT("R[-2]C", 0), DPH[Severity], DPH[Value]),_xlfn.XLOOKUP(INDIRECT("R[-1]C", 0), NP[At Risk], NP[Value])))</f>
        <v>PENDING</v>
      </c>
      <c r="O103" s="38"/>
    </row>
    <row r="104" spans="1:15" ht="9" customHeight="1" x14ac:dyDescent="0.3">
      <c r="A104" s="58">
        <v>19</v>
      </c>
      <c r="B104" s="40" t="s">
        <v>128</v>
      </c>
      <c r="C104" s="41"/>
      <c r="D104" s="42"/>
      <c r="E104" s="40" t="s">
        <v>117</v>
      </c>
      <c r="F104" s="42"/>
      <c r="G104" s="32" t="s">
        <v>42</v>
      </c>
      <c r="H104" s="17"/>
      <c r="I104" s="18"/>
      <c r="J104" s="40" t="s">
        <v>106</v>
      </c>
      <c r="K104" s="41"/>
      <c r="L104" s="42"/>
      <c r="M104" s="32" t="s">
        <v>42</v>
      </c>
      <c r="N104" s="17"/>
      <c r="O104" s="33"/>
    </row>
    <row r="105" spans="1:15" ht="9" customHeight="1" x14ac:dyDescent="0.3">
      <c r="A105" s="58"/>
      <c r="B105" s="40"/>
      <c r="C105" s="41"/>
      <c r="D105" s="42"/>
      <c r="E105" s="40"/>
      <c r="F105" s="42"/>
      <c r="G105" s="32" t="s">
        <v>33</v>
      </c>
      <c r="H105" s="19"/>
      <c r="I105" s="19"/>
      <c r="J105" s="40"/>
      <c r="K105" s="41"/>
      <c r="L105" s="42"/>
      <c r="M105" s="32" t="s">
        <v>33</v>
      </c>
      <c r="N105" s="19"/>
      <c r="O105" s="34"/>
    </row>
    <row r="106" spans="1:15" ht="9" customHeight="1" x14ac:dyDescent="0.3">
      <c r="A106" s="58"/>
      <c r="B106" s="40"/>
      <c r="C106" s="41"/>
      <c r="D106" s="42"/>
      <c r="E106" s="40"/>
      <c r="F106" s="42"/>
      <c r="G106" s="32" t="s">
        <v>34</v>
      </c>
      <c r="H106" s="19"/>
      <c r="I106" s="19"/>
      <c r="J106" s="40"/>
      <c r="K106" s="41"/>
      <c r="L106" s="42"/>
      <c r="M106" s="32" t="s">
        <v>34</v>
      </c>
      <c r="N106" s="19"/>
      <c r="O106" s="34"/>
    </row>
    <row r="107" spans="1:15" ht="9" customHeight="1" thickBot="1" x14ac:dyDescent="0.35">
      <c r="A107" s="58"/>
      <c r="B107" s="40"/>
      <c r="C107" s="41"/>
      <c r="D107" s="42"/>
      <c r="E107" s="40"/>
      <c r="F107" s="42"/>
      <c r="G107" s="32" t="s">
        <v>43</v>
      </c>
      <c r="H107" s="19"/>
      <c r="I107" s="19"/>
      <c r="J107" s="40"/>
      <c r="K107" s="41"/>
      <c r="L107" s="42"/>
      <c r="M107" s="32" t="s">
        <v>43</v>
      </c>
      <c r="N107" s="19"/>
      <c r="O107" s="34"/>
    </row>
    <row r="108" spans="1:15" ht="9" customHeight="1" thickBot="1" x14ac:dyDescent="0.35">
      <c r="A108" s="58"/>
      <c r="B108" s="43"/>
      <c r="C108" s="44"/>
      <c r="D108" s="45"/>
      <c r="E108" s="43"/>
      <c r="F108" s="45"/>
      <c r="G108" s="22" t="s">
        <v>46</v>
      </c>
      <c r="H108" s="37" t="str">
        <f ca="1">IF(OR(ISNA(_xlfn.XLOOKUP(INDIRECT("R[-4]C", 0), LO[Likelihood], LO[Value])),ISNA(_xlfn.XLOOKUP(INDIRECT("R[-3]C", 0), FE[Frequency], FE[Value])),ISNA(_xlfn.XLOOKUP(INDIRECT("R[-2]C", 0), DPH[Severity], DPH[Value])),ISNA(_xlfn.XLOOKUP(INDIRECT("R[-1]C", 0), NP[At Risk], NP[Value]))),"PENDING",PRODUCT(_xlfn.XLOOKUP(INDIRECT("R[-4]C", 0), LO[Likelihood], LO[Value]),_xlfn.XLOOKUP(INDIRECT("R[-3]C", 0), FE[Frequency], FE[Value]),_xlfn.XLOOKUP(INDIRECT("R[-2]C", 0), DPH[Severity], DPH[Value]),_xlfn.XLOOKUP(INDIRECT("R[-1]C", 0), NP[At Risk], NP[Value])))</f>
        <v>PENDING</v>
      </c>
      <c r="I108" s="39"/>
      <c r="J108" s="43"/>
      <c r="K108" s="44"/>
      <c r="L108" s="45"/>
      <c r="M108" s="22" t="s">
        <v>46</v>
      </c>
      <c r="N108" s="37" t="str">
        <f ca="1">IF(OR(ISNA(_xlfn.XLOOKUP(INDIRECT("R[-4]C", 0), LO[Likelihood], LO[Value])),ISNA(_xlfn.XLOOKUP(INDIRECT("R[-3]C", 0), FE[Frequency], FE[Value])),ISNA(_xlfn.XLOOKUP(INDIRECT("R[-2]C", 0), DPH[Severity], DPH[Value])),ISNA(_xlfn.XLOOKUP(INDIRECT("R[-1]C", 0), NP[At Risk], NP[Value]))),"PENDING",PRODUCT(_xlfn.XLOOKUP(INDIRECT("R[-4]C", 0), LO[Likelihood], LO[Value]),_xlfn.XLOOKUP(INDIRECT("R[-3]C", 0), FE[Frequency], FE[Value]),_xlfn.XLOOKUP(INDIRECT("R[-2]C", 0), DPH[Severity], DPH[Value]),_xlfn.XLOOKUP(INDIRECT("R[-1]C", 0), NP[At Risk], NP[Value])))</f>
        <v>PENDING</v>
      </c>
      <c r="O108" s="38"/>
    </row>
    <row r="109" spans="1:15" ht="9" customHeight="1" x14ac:dyDescent="0.3">
      <c r="A109" s="58">
        <v>20</v>
      </c>
      <c r="B109" s="40" t="s">
        <v>129</v>
      </c>
      <c r="C109" s="41"/>
      <c r="D109" s="42"/>
      <c r="E109" s="40" t="s">
        <v>118</v>
      </c>
      <c r="F109" s="42"/>
      <c r="G109" s="32" t="s">
        <v>42</v>
      </c>
      <c r="H109" s="17"/>
      <c r="I109" s="18"/>
      <c r="J109" s="40" t="s">
        <v>107</v>
      </c>
      <c r="K109" s="41"/>
      <c r="L109" s="42"/>
      <c r="M109" s="32" t="s">
        <v>42</v>
      </c>
      <c r="N109" s="17"/>
      <c r="O109" s="33"/>
    </row>
    <row r="110" spans="1:15" ht="9" customHeight="1" x14ac:dyDescent="0.3">
      <c r="A110" s="58"/>
      <c r="B110" s="40"/>
      <c r="C110" s="41"/>
      <c r="D110" s="42"/>
      <c r="E110" s="40"/>
      <c r="F110" s="42"/>
      <c r="G110" s="32" t="s">
        <v>33</v>
      </c>
      <c r="H110" s="19"/>
      <c r="I110" s="19"/>
      <c r="J110" s="40"/>
      <c r="K110" s="41"/>
      <c r="L110" s="42"/>
      <c r="M110" s="32" t="s">
        <v>33</v>
      </c>
      <c r="N110" s="19"/>
      <c r="O110" s="34"/>
    </row>
    <row r="111" spans="1:15" ht="9" customHeight="1" x14ac:dyDescent="0.3">
      <c r="A111" s="58"/>
      <c r="B111" s="40"/>
      <c r="C111" s="41"/>
      <c r="D111" s="42"/>
      <c r="E111" s="40"/>
      <c r="F111" s="42"/>
      <c r="G111" s="32" t="s">
        <v>34</v>
      </c>
      <c r="H111" s="19"/>
      <c r="I111" s="19"/>
      <c r="J111" s="40"/>
      <c r="K111" s="41"/>
      <c r="L111" s="42"/>
      <c r="M111" s="32" t="s">
        <v>34</v>
      </c>
      <c r="N111" s="19"/>
      <c r="O111" s="34"/>
    </row>
    <row r="112" spans="1:15" ht="9" customHeight="1" thickBot="1" x14ac:dyDescent="0.35">
      <c r="A112" s="58"/>
      <c r="B112" s="40"/>
      <c r="C112" s="41"/>
      <c r="D112" s="42"/>
      <c r="E112" s="40"/>
      <c r="F112" s="42"/>
      <c r="G112" s="32" t="s">
        <v>43</v>
      </c>
      <c r="H112" s="19"/>
      <c r="I112" s="19"/>
      <c r="J112" s="40"/>
      <c r="K112" s="41"/>
      <c r="L112" s="42"/>
      <c r="M112" s="32" t="s">
        <v>43</v>
      </c>
      <c r="N112" s="19"/>
      <c r="O112" s="34"/>
    </row>
    <row r="113" spans="1:30" ht="9" customHeight="1" thickBot="1" x14ac:dyDescent="0.35">
      <c r="A113" s="58"/>
      <c r="B113" s="43"/>
      <c r="C113" s="44"/>
      <c r="D113" s="45"/>
      <c r="E113" s="43"/>
      <c r="F113" s="45"/>
      <c r="G113" s="22" t="s">
        <v>46</v>
      </c>
      <c r="H113" s="37" t="str">
        <f ca="1">IF(OR(ISNA(_xlfn.XLOOKUP(INDIRECT("R[-4]C", 0), LO[Likelihood], LO[Value])),ISNA(_xlfn.XLOOKUP(INDIRECT("R[-3]C", 0), FE[Frequency], FE[Value])),ISNA(_xlfn.XLOOKUP(INDIRECT("R[-2]C", 0), DPH[Severity], DPH[Value])),ISNA(_xlfn.XLOOKUP(INDIRECT("R[-1]C", 0), NP[At Risk], NP[Value]))),"PENDING",PRODUCT(_xlfn.XLOOKUP(INDIRECT("R[-4]C", 0), LO[Likelihood], LO[Value]),_xlfn.XLOOKUP(INDIRECT("R[-3]C", 0), FE[Frequency], FE[Value]),_xlfn.XLOOKUP(INDIRECT("R[-2]C", 0), DPH[Severity], DPH[Value]),_xlfn.XLOOKUP(INDIRECT("R[-1]C", 0), NP[At Risk], NP[Value])))</f>
        <v>PENDING</v>
      </c>
      <c r="I113" s="39"/>
      <c r="J113" s="43"/>
      <c r="K113" s="44"/>
      <c r="L113" s="45"/>
      <c r="M113" s="22" t="s">
        <v>46</v>
      </c>
      <c r="N113" s="37" t="str">
        <f ca="1">IF(OR(ISNA(_xlfn.XLOOKUP(INDIRECT("R[-4]C", 0), LO[Likelihood], LO[Value])),ISNA(_xlfn.XLOOKUP(INDIRECT("R[-3]C", 0), FE[Frequency], FE[Value])),ISNA(_xlfn.XLOOKUP(INDIRECT("R[-2]C", 0), DPH[Severity], DPH[Value])),ISNA(_xlfn.XLOOKUP(INDIRECT("R[-1]C", 0), NP[At Risk], NP[Value]))),"PENDING",PRODUCT(_xlfn.XLOOKUP(INDIRECT("R[-4]C", 0), LO[Likelihood], LO[Value]),_xlfn.XLOOKUP(INDIRECT("R[-3]C", 0), FE[Frequency], FE[Value]),_xlfn.XLOOKUP(INDIRECT("R[-2]C", 0), DPH[Severity], DPH[Value]),_xlfn.XLOOKUP(INDIRECT("R[-1]C", 0), NP[At Risk], NP[Value])))</f>
        <v>PENDING</v>
      </c>
      <c r="O113" s="38"/>
    </row>
    <row r="114" spans="1:30" ht="9" customHeight="1" x14ac:dyDescent="0.3">
      <c r="A114" s="58">
        <v>21</v>
      </c>
      <c r="B114" s="40" t="s">
        <v>130</v>
      </c>
      <c r="C114" s="41"/>
      <c r="D114" s="42"/>
      <c r="E114" s="40" t="s">
        <v>119</v>
      </c>
      <c r="F114" s="42"/>
      <c r="G114" s="32" t="s">
        <v>42</v>
      </c>
      <c r="H114" s="17"/>
      <c r="I114" s="18"/>
      <c r="J114" s="40" t="s">
        <v>108</v>
      </c>
      <c r="K114" s="41"/>
      <c r="L114" s="42"/>
      <c r="M114" s="32" t="s">
        <v>42</v>
      </c>
      <c r="N114" s="17"/>
      <c r="O114" s="33"/>
      <c r="P114" s="20"/>
      <c r="Q114" s="20"/>
      <c r="R114" s="20"/>
      <c r="S114" s="20"/>
      <c r="T114" s="20"/>
      <c r="U114" s="20"/>
      <c r="V114" s="20"/>
      <c r="W114" s="20"/>
      <c r="X114" s="20"/>
      <c r="Y114" s="20"/>
      <c r="Z114" s="20"/>
      <c r="AA114" s="20"/>
      <c r="AB114" s="20"/>
      <c r="AC114" s="20"/>
      <c r="AD114" s="20"/>
    </row>
    <row r="115" spans="1:30" ht="9" customHeight="1" x14ac:dyDescent="0.3">
      <c r="A115" s="58"/>
      <c r="B115" s="40"/>
      <c r="C115" s="41"/>
      <c r="D115" s="42"/>
      <c r="E115" s="40"/>
      <c r="F115" s="42"/>
      <c r="G115" s="32" t="s">
        <v>33</v>
      </c>
      <c r="H115" s="19"/>
      <c r="I115" s="19"/>
      <c r="J115" s="40"/>
      <c r="K115" s="41"/>
      <c r="L115" s="42"/>
      <c r="M115" s="32" t="s">
        <v>33</v>
      </c>
      <c r="N115" s="19"/>
      <c r="O115" s="34"/>
      <c r="P115" s="20"/>
      <c r="Q115" s="20"/>
      <c r="R115" s="20"/>
      <c r="S115" s="20"/>
      <c r="T115" s="20"/>
      <c r="U115" s="20"/>
      <c r="V115" s="20"/>
      <c r="W115" s="20"/>
      <c r="X115" s="20"/>
      <c r="Y115" s="20"/>
      <c r="Z115" s="20"/>
      <c r="AA115" s="20"/>
      <c r="AB115" s="20"/>
      <c r="AC115" s="20"/>
      <c r="AD115" s="20"/>
    </row>
    <row r="116" spans="1:30" ht="9" customHeight="1" x14ac:dyDescent="0.3">
      <c r="A116" s="58"/>
      <c r="B116" s="40"/>
      <c r="C116" s="41"/>
      <c r="D116" s="42"/>
      <c r="E116" s="40"/>
      <c r="F116" s="42"/>
      <c r="G116" s="32" t="s">
        <v>34</v>
      </c>
      <c r="H116" s="19"/>
      <c r="I116" s="19"/>
      <c r="J116" s="40"/>
      <c r="K116" s="41"/>
      <c r="L116" s="42"/>
      <c r="M116" s="32" t="s">
        <v>34</v>
      </c>
      <c r="N116" s="19"/>
      <c r="O116" s="34"/>
      <c r="P116" s="20"/>
      <c r="Q116" s="20"/>
      <c r="R116" s="20"/>
      <c r="S116" s="20"/>
      <c r="T116" s="20"/>
      <c r="U116" s="20"/>
      <c r="V116" s="20"/>
      <c r="W116" s="20"/>
      <c r="X116" s="20"/>
      <c r="Y116" s="20"/>
      <c r="Z116" s="20"/>
      <c r="AA116" s="20"/>
      <c r="AB116" s="20"/>
      <c r="AC116" s="20"/>
      <c r="AD116" s="20"/>
    </row>
    <row r="117" spans="1:30" ht="9" customHeight="1" thickBot="1" x14ac:dyDescent="0.35">
      <c r="A117" s="58"/>
      <c r="B117" s="40"/>
      <c r="C117" s="41"/>
      <c r="D117" s="42"/>
      <c r="E117" s="40"/>
      <c r="F117" s="42"/>
      <c r="G117" s="32" t="s">
        <v>43</v>
      </c>
      <c r="H117" s="19"/>
      <c r="I117" s="19"/>
      <c r="J117" s="40"/>
      <c r="K117" s="41"/>
      <c r="L117" s="42"/>
      <c r="M117" s="32" t="s">
        <v>43</v>
      </c>
      <c r="N117" s="19"/>
      <c r="O117" s="34"/>
      <c r="P117" s="20"/>
      <c r="Q117" s="20"/>
      <c r="R117" s="20"/>
      <c r="S117" s="20"/>
      <c r="T117" s="20"/>
      <c r="U117" s="20"/>
      <c r="V117" s="20"/>
      <c r="W117" s="20"/>
      <c r="X117" s="20"/>
      <c r="Y117" s="20"/>
      <c r="Z117" s="20"/>
      <c r="AA117" s="20"/>
      <c r="AB117" s="20"/>
      <c r="AC117" s="20"/>
      <c r="AD117" s="20"/>
    </row>
    <row r="118" spans="1:30" ht="9" customHeight="1" thickBot="1" x14ac:dyDescent="0.35">
      <c r="A118" s="58"/>
      <c r="B118" s="43"/>
      <c r="C118" s="44"/>
      <c r="D118" s="45"/>
      <c r="E118" s="43"/>
      <c r="F118" s="45"/>
      <c r="G118" s="22" t="s">
        <v>46</v>
      </c>
      <c r="H118" s="37" t="str">
        <f ca="1">IF(OR(ISNA(_xlfn.XLOOKUP(INDIRECT("R[-4]C", 0), LO[Likelihood], LO[Value])),ISNA(_xlfn.XLOOKUP(INDIRECT("R[-3]C", 0), FE[Frequency], FE[Value])),ISNA(_xlfn.XLOOKUP(INDIRECT("R[-2]C", 0), DPH[Severity], DPH[Value])),ISNA(_xlfn.XLOOKUP(INDIRECT("R[-1]C", 0), NP[At Risk], NP[Value]))),"PENDING",PRODUCT(_xlfn.XLOOKUP(INDIRECT("R[-4]C", 0), LO[Likelihood], LO[Value]),_xlfn.XLOOKUP(INDIRECT("R[-3]C", 0), FE[Frequency], FE[Value]),_xlfn.XLOOKUP(INDIRECT("R[-2]C", 0), DPH[Severity], DPH[Value]),_xlfn.XLOOKUP(INDIRECT("R[-1]C", 0), NP[At Risk], NP[Value])))</f>
        <v>PENDING</v>
      </c>
      <c r="I118" s="39"/>
      <c r="J118" s="43"/>
      <c r="K118" s="44"/>
      <c r="L118" s="45"/>
      <c r="M118" s="22" t="s">
        <v>46</v>
      </c>
      <c r="N118" s="37" t="str">
        <f ca="1">IF(OR(ISNA(_xlfn.XLOOKUP(INDIRECT("R[-4]C", 0), LO[Likelihood], LO[Value])),ISNA(_xlfn.XLOOKUP(INDIRECT("R[-3]C", 0), FE[Frequency], FE[Value])),ISNA(_xlfn.XLOOKUP(INDIRECT("R[-2]C", 0), DPH[Severity], DPH[Value])),ISNA(_xlfn.XLOOKUP(INDIRECT("R[-1]C", 0), NP[At Risk], NP[Value]))),"PENDING",PRODUCT(_xlfn.XLOOKUP(INDIRECT("R[-4]C", 0), LO[Likelihood], LO[Value]),_xlfn.XLOOKUP(INDIRECT("R[-3]C", 0), FE[Frequency], FE[Value]),_xlfn.XLOOKUP(INDIRECT("R[-2]C", 0), DPH[Severity], DPH[Value]),_xlfn.XLOOKUP(INDIRECT("R[-1]C", 0), NP[At Risk], NP[Value])))</f>
        <v>PENDING</v>
      </c>
      <c r="O118" s="38"/>
      <c r="P118" s="20"/>
      <c r="Q118" s="20"/>
      <c r="R118" s="20"/>
      <c r="S118" s="20"/>
      <c r="T118" s="20"/>
      <c r="U118" s="20"/>
      <c r="V118" s="20"/>
      <c r="W118" s="20"/>
      <c r="X118" s="20"/>
      <c r="Y118" s="20"/>
      <c r="Z118" s="20"/>
      <c r="AA118" s="20"/>
      <c r="AB118" s="20"/>
      <c r="AC118" s="20"/>
      <c r="AD118" s="20"/>
    </row>
    <row r="119" spans="1:30" ht="9" customHeight="1" x14ac:dyDescent="0.3">
      <c r="A119" s="58">
        <v>22</v>
      </c>
      <c r="B119" s="40" t="s">
        <v>131</v>
      </c>
      <c r="C119" s="41"/>
      <c r="D119" s="42"/>
      <c r="E119" s="40" t="s">
        <v>120</v>
      </c>
      <c r="F119" s="42"/>
      <c r="G119" s="32" t="s">
        <v>42</v>
      </c>
      <c r="H119" s="17"/>
      <c r="I119" s="18"/>
      <c r="J119" s="40" t="s">
        <v>109</v>
      </c>
      <c r="K119" s="41"/>
      <c r="L119" s="42"/>
      <c r="M119" s="32" t="s">
        <v>42</v>
      </c>
      <c r="N119" s="17"/>
      <c r="O119" s="33"/>
      <c r="P119" s="20"/>
      <c r="Q119" s="20"/>
      <c r="R119" s="20"/>
      <c r="S119" s="20"/>
      <c r="T119" s="20"/>
      <c r="U119" s="20"/>
      <c r="V119" s="20"/>
      <c r="W119" s="20"/>
      <c r="X119" s="20"/>
      <c r="Y119" s="20"/>
      <c r="Z119" s="20"/>
      <c r="AA119" s="20"/>
      <c r="AB119" s="20"/>
      <c r="AC119" s="20"/>
      <c r="AD119" s="20"/>
    </row>
    <row r="120" spans="1:30" ht="9" customHeight="1" x14ac:dyDescent="0.3">
      <c r="A120" s="58"/>
      <c r="B120" s="40"/>
      <c r="C120" s="41"/>
      <c r="D120" s="42"/>
      <c r="E120" s="40"/>
      <c r="F120" s="42"/>
      <c r="G120" s="32" t="s">
        <v>33</v>
      </c>
      <c r="H120" s="19"/>
      <c r="I120" s="19"/>
      <c r="J120" s="40"/>
      <c r="K120" s="41"/>
      <c r="L120" s="42"/>
      <c r="M120" s="32" t="s">
        <v>33</v>
      </c>
      <c r="N120" s="19"/>
      <c r="O120" s="34"/>
      <c r="P120" s="20"/>
      <c r="Q120" s="20"/>
      <c r="R120" s="20"/>
      <c r="S120" s="20"/>
      <c r="T120" s="20"/>
      <c r="U120" s="20"/>
      <c r="V120" s="20"/>
      <c r="W120" s="20"/>
      <c r="X120" s="20"/>
      <c r="Y120" s="20"/>
      <c r="Z120" s="20"/>
      <c r="AA120" s="20"/>
      <c r="AB120" s="20"/>
      <c r="AC120" s="20"/>
      <c r="AD120" s="20"/>
    </row>
    <row r="121" spans="1:30" ht="9" customHeight="1" x14ac:dyDescent="0.3">
      <c r="A121" s="58"/>
      <c r="B121" s="40"/>
      <c r="C121" s="41"/>
      <c r="D121" s="42"/>
      <c r="E121" s="40"/>
      <c r="F121" s="42"/>
      <c r="G121" s="32" t="s">
        <v>34</v>
      </c>
      <c r="H121" s="19"/>
      <c r="I121" s="19"/>
      <c r="J121" s="40"/>
      <c r="K121" s="41"/>
      <c r="L121" s="42"/>
      <c r="M121" s="32" t="s">
        <v>34</v>
      </c>
      <c r="N121" s="19"/>
      <c r="O121" s="34"/>
      <c r="P121" s="20"/>
      <c r="Q121" s="20"/>
      <c r="R121" s="20"/>
      <c r="S121" s="20"/>
      <c r="T121" s="20"/>
      <c r="U121" s="20"/>
      <c r="V121" s="20"/>
      <c r="W121" s="20"/>
      <c r="X121" s="20"/>
      <c r="Y121" s="20"/>
      <c r="Z121" s="20"/>
      <c r="AA121" s="20"/>
      <c r="AB121" s="20"/>
      <c r="AC121" s="20"/>
      <c r="AD121" s="20"/>
    </row>
    <row r="122" spans="1:30" ht="9" customHeight="1" thickBot="1" x14ac:dyDescent="0.35">
      <c r="A122" s="58"/>
      <c r="B122" s="40"/>
      <c r="C122" s="41"/>
      <c r="D122" s="42"/>
      <c r="E122" s="40"/>
      <c r="F122" s="42"/>
      <c r="G122" s="32" t="s">
        <v>43</v>
      </c>
      <c r="H122" s="19"/>
      <c r="I122" s="19"/>
      <c r="J122" s="40"/>
      <c r="K122" s="41"/>
      <c r="L122" s="42"/>
      <c r="M122" s="32" t="s">
        <v>43</v>
      </c>
      <c r="N122" s="19"/>
      <c r="O122" s="34"/>
      <c r="P122" s="20"/>
      <c r="Q122" s="20"/>
      <c r="R122" s="20"/>
      <c r="S122" s="20"/>
      <c r="T122" s="20"/>
      <c r="U122" s="20"/>
      <c r="V122" s="20"/>
      <c r="W122" s="20"/>
      <c r="X122" s="20"/>
      <c r="Y122" s="20"/>
      <c r="Z122" s="20"/>
      <c r="AA122" s="20"/>
      <c r="AB122" s="20"/>
      <c r="AC122" s="20"/>
      <c r="AD122" s="20"/>
    </row>
    <row r="123" spans="1:30" ht="9" customHeight="1" thickBot="1" x14ac:dyDescent="0.35">
      <c r="A123" s="58"/>
      <c r="B123" s="43"/>
      <c r="C123" s="44"/>
      <c r="D123" s="45"/>
      <c r="E123" s="43"/>
      <c r="F123" s="45"/>
      <c r="G123" s="22" t="s">
        <v>46</v>
      </c>
      <c r="H123" s="37" t="str">
        <f ca="1">IF(OR(ISNA(_xlfn.XLOOKUP(INDIRECT("R[-4]C", 0), LO[Likelihood], LO[Value])),ISNA(_xlfn.XLOOKUP(INDIRECT("R[-3]C", 0), FE[Frequency], FE[Value])),ISNA(_xlfn.XLOOKUP(INDIRECT("R[-2]C", 0), DPH[Severity], DPH[Value])),ISNA(_xlfn.XLOOKUP(INDIRECT("R[-1]C", 0), NP[At Risk], NP[Value]))),"PENDING",PRODUCT(_xlfn.XLOOKUP(INDIRECT("R[-4]C", 0), LO[Likelihood], LO[Value]),_xlfn.XLOOKUP(INDIRECT("R[-3]C", 0), FE[Frequency], FE[Value]),_xlfn.XLOOKUP(INDIRECT("R[-2]C", 0), DPH[Severity], DPH[Value]),_xlfn.XLOOKUP(INDIRECT("R[-1]C", 0), NP[At Risk], NP[Value])))</f>
        <v>PENDING</v>
      </c>
      <c r="I123" s="39"/>
      <c r="J123" s="43"/>
      <c r="K123" s="44"/>
      <c r="L123" s="45"/>
      <c r="M123" s="22" t="s">
        <v>46</v>
      </c>
      <c r="N123" s="37" t="str">
        <f ca="1">IF(OR(ISNA(_xlfn.XLOOKUP(INDIRECT("R[-4]C", 0), LO[Likelihood], LO[Value])),ISNA(_xlfn.XLOOKUP(INDIRECT("R[-3]C", 0), FE[Frequency], FE[Value])),ISNA(_xlfn.XLOOKUP(INDIRECT("R[-2]C", 0), DPH[Severity], DPH[Value])),ISNA(_xlfn.XLOOKUP(INDIRECT("R[-1]C", 0), NP[At Risk], NP[Value]))),"PENDING",PRODUCT(_xlfn.XLOOKUP(INDIRECT("R[-4]C", 0), LO[Likelihood], LO[Value]),_xlfn.XLOOKUP(INDIRECT("R[-3]C", 0), FE[Frequency], FE[Value]),_xlfn.XLOOKUP(INDIRECT("R[-2]C", 0), DPH[Severity], DPH[Value]),_xlfn.XLOOKUP(INDIRECT("R[-1]C", 0), NP[At Risk], NP[Value])))</f>
        <v>PENDING</v>
      </c>
      <c r="O123" s="38"/>
      <c r="P123" s="20"/>
      <c r="Q123" s="20"/>
      <c r="R123" s="20"/>
      <c r="S123" s="20"/>
      <c r="T123" s="20"/>
      <c r="U123" s="20"/>
      <c r="V123" s="20"/>
      <c r="W123" s="20"/>
      <c r="X123" s="20"/>
      <c r="Y123" s="20"/>
      <c r="Z123" s="20"/>
      <c r="AA123" s="20"/>
      <c r="AB123" s="20"/>
      <c r="AC123" s="20"/>
      <c r="AD123" s="20"/>
    </row>
    <row r="124" spans="1:30" ht="9" customHeight="1" x14ac:dyDescent="0.3">
      <c r="A124" s="58">
        <v>23</v>
      </c>
      <c r="B124" s="40" t="s">
        <v>132</v>
      </c>
      <c r="C124" s="41"/>
      <c r="D124" s="42"/>
      <c r="E124" s="40" t="s">
        <v>121</v>
      </c>
      <c r="F124" s="42"/>
      <c r="G124" s="32" t="s">
        <v>42</v>
      </c>
      <c r="H124" s="17"/>
      <c r="I124" s="18"/>
      <c r="J124" s="40" t="s">
        <v>110</v>
      </c>
      <c r="K124" s="41"/>
      <c r="L124" s="42"/>
      <c r="M124" s="32" t="s">
        <v>42</v>
      </c>
      <c r="N124" s="17"/>
      <c r="O124" s="33"/>
      <c r="P124" s="20"/>
      <c r="Q124" s="20"/>
      <c r="R124" s="20"/>
      <c r="S124" s="20"/>
      <c r="T124" s="20"/>
      <c r="U124" s="20"/>
      <c r="V124" s="20"/>
      <c r="W124" s="20"/>
      <c r="X124" s="20"/>
      <c r="Y124" s="20"/>
      <c r="Z124" s="20"/>
      <c r="AA124" s="20"/>
      <c r="AB124" s="20"/>
      <c r="AC124" s="20"/>
      <c r="AD124" s="20"/>
    </row>
    <row r="125" spans="1:30" ht="9" customHeight="1" x14ac:dyDescent="0.3">
      <c r="A125" s="58"/>
      <c r="B125" s="40"/>
      <c r="C125" s="41"/>
      <c r="D125" s="42"/>
      <c r="E125" s="40"/>
      <c r="F125" s="42"/>
      <c r="G125" s="32" t="s">
        <v>33</v>
      </c>
      <c r="H125" s="19"/>
      <c r="I125" s="19"/>
      <c r="J125" s="40"/>
      <c r="K125" s="41"/>
      <c r="L125" s="42"/>
      <c r="M125" s="32" t="s">
        <v>33</v>
      </c>
      <c r="N125" s="19"/>
      <c r="O125" s="34"/>
      <c r="P125" s="20"/>
      <c r="Q125" s="20"/>
      <c r="R125" s="20"/>
      <c r="S125" s="20"/>
      <c r="T125" s="20"/>
      <c r="U125" s="20"/>
      <c r="V125" s="20"/>
      <c r="W125" s="20"/>
      <c r="X125" s="20"/>
      <c r="Y125" s="20"/>
      <c r="Z125" s="20"/>
      <c r="AA125" s="20"/>
      <c r="AB125" s="20"/>
      <c r="AC125" s="20"/>
      <c r="AD125" s="20"/>
    </row>
    <row r="126" spans="1:30" ht="9" customHeight="1" x14ac:dyDescent="0.3">
      <c r="A126" s="58"/>
      <c r="B126" s="40"/>
      <c r="C126" s="41"/>
      <c r="D126" s="42"/>
      <c r="E126" s="40"/>
      <c r="F126" s="42"/>
      <c r="G126" s="32" t="s">
        <v>34</v>
      </c>
      <c r="H126" s="19"/>
      <c r="I126" s="19"/>
      <c r="J126" s="40"/>
      <c r="K126" s="41"/>
      <c r="L126" s="42"/>
      <c r="M126" s="32" t="s">
        <v>34</v>
      </c>
      <c r="N126" s="19"/>
      <c r="O126" s="34"/>
      <c r="P126" s="20"/>
      <c r="Q126" s="20"/>
      <c r="R126" s="20"/>
      <c r="S126" s="20"/>
      <c r="T126" s="20"/>
      <c r="U126" s="20"/>
      <c r="V126" s="20"/>
      <c r="W126" s="20"/>
      <c r="X126" s="20"/>
      <c r="Y126" s="20"/>
      <c r="Z126" s="20"/>
      <c r="AA126" s="20"/>
      <c r="AB126" s="20"/>
      <c r="AC126" s="20"/>
      <c r="AD126" s="20"/>
    </row>
    <row r="127" spans="1:30" ht="9" customHeight="1" thickBot="1" x14ac:dyDescent="0.35">
      <c r="A127" s="58"/>
      <c r="B127" s="40"/>
      <c r="C127" s="41"/>
      <c r="D127" s="42"/>
      <c r="E127" s="40"/>
      <c r="F127" s="42"/>
      <c r="G127" s="32" t="s">
        <v>43</v>
      </c>
      <c r="H127" s="19"/>
      <c r="I127" s="19"/>
      <c r="J127" s="40"/>
      <c r="K127" s="41"/>
      <c r="L127" s="42"/>
      <c r="M127" s="32" t="s">
        <v>43</v>
      </c>
      <c r="N127" s="19"/>
      <c r="O127" s="34"/>
      <c r="P127" s="20"/>
      <c r="Q127" s="20"/>
      <c r="R127" s="20"/>
      <c r="S127" s="20"/>
      <c r="T127" s="20"/>
      <c r="U127" s="20"/>
      <c r="V127" s="20"/>
      <c r="W127" s="20"/>
      <c r="X127" s="20"/>
      <c r="Y127" s="20"/>
      <c r="Z127" s="20"/>
      <c r="AA127" s="20"/>
      <c r="AB127" s="20"/>
      <c r="AC127" s="20"/>
      <c r="AD127" s="20"/>
    </row>
    <row r="128" spans="1:30" ht="9" customHeight="1" thickBot="1" x14ac:dyDescent="0.35">
      <c r="A128" s="58"/>
      <c r="B128" s="43"/>
      <c r="C128" s="44"/>
      <c r="D128" s="45"/>
      <c r="E128" s="43"/>
      <c r="F128" s="45"/>
      <c r="G128" s="22" t="s">
        <v>46</v>
      </c>
      <c r="H128" s="37" t="str">
        <f ca="1">IF(OR(ISNA(_xlfn.XLOOKUP(INDIRECT("R[-4]C", 0), LO[Likelihood], LO[Value])),ISNA(_xlfn.XLOOKUP(INDIRECT("R[-3]C", 0), FE[Frequency], FE[Value])),ISNA(_xlfn.XLOOKUP(INDIRECT("R[-2]C", 0), DPH[Severity], DPH[Value])),ISNA(_xlfn.XLOOKUP(INDIRECT("R[-1]C", 0), NP[At Risk], NP[Value]))),"PENDING",PRODUCT(_xlfn.XLOOKUP(INDIRECT("R[-4]C", 0), LO[Likelihood], LO[Value]),_xlfn.XLOOKUP(INDIRECT("R[-3]C", 0), FE[Frequency], FE[Value]),_xlfn.XLOOKUP(INDIRECT("R[-2]C", 0), DPH[Severity], DPH[Value]),_xlfn.XLOOKUP(INDIRECT("R[-1]C", 0), NP[At Risk], NP[Value])))</f>
        <v>PENDING</v>
      </c>
      <c r="I128" s="39"/>
      <c r="J128" s="43"/>
      <c r="K128" s="44"/>
      <c r="L128" s="45"/>
      <c r="M128" s="22" t="s">
        <v>46</v>
      </c>
      <c r="N128" s="37" t="str">
        <f ca="1">IF(OR(ISNA(_xlfn.XLOOKUP(INDIRECT("R[-4]C", 0), LO[Likelihood], LO[Value])),ISNA(_xlfn.XLOOKUP(INDIRECT("R[-3]C", 0), FE[Frequency], FE[Value])),ISNA(_xlfn.XLOOKUP(INDIRECT("R[-2]C", 0), DPH[Severity], DPH[Value])),ISNA(_xlfn.XLOOKUP(INDIRECT("R[-1]C", 0), NP[At Risk], NP[Value]))),"PENDING",PRODUCT(_xlfn.XLOOKUP(INDIRECT("R[-4]C", 0), LO[Likelihood], LO[Value]),_xlfn.XLOOKUP(INDIRECT("R[-3]C", 0), FE[Frequency], FE[Value]),_xlfn.XLOOKUP(INDIRECT("R[-2]C", 0), DPH[Severity], DPH[Value]),_xlfn.XLOOKUP(INDIRECT("R[-1]C", 0), NP[At Risk], NP[Value])))</f>
        <v>PENDING</v>
      </c>
      <c r="O128" s="38"/>
      <c r="P128" s="20"/>
      <c r="Q128" s="20"/>
      <c r="R128" s="20"/>
      <c r="S128" s="20"/>
      <c r="T128" s="20"/>
      <c r="U128" s="20"/>
      <c r="V128" s="20"/>
      <c r="W128" s="20"/>
      <c r="X128" s="20"/>
      <c r="Y128" s="20"/>
      <c r="Z128" s="20"/>
      <c r="AA128" s="20"/>
      <c r="AB128" s="20"/>
      <c r="AC128" s="20"/>
      <c r="AD128" s="20"/>
    </row>
    <row r="129" spans="1:30" ht="9" customHeight="1" x14ac:dyDescent="0.3">
      <c r="A129" s="58">
        <v>24</v>
      </c>
      <c r="B129" s="40" t="s">
        <v>133</v>
      </c>
      <c r="C129" s="41"/>
      <c r="D129" s="42"/>
      <c r="E129" s="40" t="s">
        <v>122</v>
      </c>
      <c r="F129" s="42"/>
      <c r="G129" s="32" t="s">
        <v>42</v>
      </c>
      <c r="H129" s="17"/>
      <c r="I129" s="18"/>
      <c r="J129" s="40" t="s">
        <v>111</v>
      </c>
      <c r="K129" s="41"/>
      <c r="L129" s="42"/>
      <c r="M129" s="32" t="s">
        <v>42</v>
      </c>
      <c r="N129" s="17"/>
      <c r="O129" s="33"/>
      <c r="P129" s="20"/>
      <c r="Q129" s="20"/>
      <c r="R129" s="20"/>
      <c r="S129" s="20"/>
      <c r="T129" s="20"/>
      <c r="U129" s="20"/>
      <c r="V129" s="20"/>
      <c r="W129" s="20"/>
      <c r="X129" s="20"/>
      <c r="Y129" s="20"/>
      <c r="Z129" s="20"/>
      <c r="AA129" s="20"/>
      <c r="AB129" s="20"/>
      <c r="AC129" s="20"/>
      <c r="AD129" s="20"/>
    </row>
    <row r="130" spans="1:30" ht="9" customHeight="1" x14ac:dyDescent="0.3">
      <c r="A130" s="58"/>
      <c r="B130" s="40"/>
      <c r="C130" s="41"/>
      <c r="D130" s="42"/>
      <c r="E130" s="40"/>
      <c r="F130" s="42"/>
      <c r="G130" s="32" t="s">
        <v>33</v>
      </c>
      <c r="H130" s="19"/>
      <c r="I130" s="19"/>
      <c r="J130" s="40"/>
      <c r="K130" s="41"/>
      <c r="L130" s="42"/>
      <c r="M130" s="32" t="s">
        <v>33</v>
      </c>
      <c r="N130" s="19"/>
      <c r="O130" s="34"/>
      <c r="P130" s="20"/>
      <c r="Q130" s="20"/>
      <c r="R130" s="20"/>
      <c r="S130" s="20"/>
      <c r="T130" s="20"/>
      <c r="U130" s="20"/>
      <c r="V130" s="20"/>
      <c r="W130" s="20"/>
      <c r="X130" s="20"/>
      <c r="Y130" s="20"/>
      <c r="Z130" s="20"/>
      <c r="AA130" s="20"/>
      <c r="AB130" s="20"/>
      <c r="AC130" s="20"/>
      <c r="AD130" s="20"/>
    </row>
    <row r="131" spans="1:30" ht="9" customHeight="1" x14ac:dyDescent="0.3">
      <c r="A131" s="58"/>
      <c r="B131" s="40"/>
      <c r="C131" s="41"/>
      <c r="D131" s="42"/>
      <c r="E131" s="40"/>
      <c r="F131" s="42"/>
      <c r="G131" s="32" t="s">
        <v>34</v>
      </c>
      <c r="H131" s="19"/>
      <c r="I131" s="19"/>
      <c r="J131" s="40"/>
      <c r="K131" s="41"/>
      <c r="L131" s="42"/>
      <c r="M131" s="32" t="s">
        <v>34</v>
      </c>
      <c r="N131" s="19"/>
      <c r="O131" s="34"/>
      <c r="P131" s="20"/>
      <c r="Q131" s="20"/>
      <c r="R131" s="20"/>
      <c r="S131" s="20"/>
      <c r="T131" s="20"/>
      <c r="U131" s="20"/>
      <c r="V131" s="20"/>
      <c r="W131" s="20"/>
      <c r="X131" s="20"/>
      <c r="Y131" s="20"/>
      <c r="Z131" s="20"/>
      <c r="AA131" s="20"/>
      <c r="AB131" s="20"/>
      <c r="AC131" s="20"/>
      <c r="AD131" s="20"/>
    </row>
    <row r="132" spans="1:30" ht="9" customHeight="1" thickBot="1" x14ac:dyDescent="0.35">
      <c r="A132" s="58"/>
      <c r="B132" s="40"/>
      <c r="C132" s="41"/>
      <c r="D132" s="42"/>
      <c r="E132" s="40"/>
      <c r="F132" s="42"/>
      <c r="G132" s="32" t="s">
        <v>43</v>
      </c>
      <c r="H132" s="19"/>
      <c r="I132" s="19"/>
      <c r="J132" s="40"/>
      <c r="K132" s="41"/>
      <c r="L132" s="42"/>
      <c r="M132" s="32" t="s">
        <v>43</v>
      </c>
      <c r="N132" s="19"/>
      <c r="O132" s="34"/>
      <c r="P132" s="20"/>
      <c r="Q132" s="20"/>
      <c r="R132" s="20"/>
      <c r="S132" s="20"/>
      <c r="T132" s="20"/>
      <c r="U132" s="20"/>
      <c r="V132" s="20"/>
      <c r="W132" s="20"/>
      <c r="X132" s="20"/>
      <c r="Y132" s="20"/>
      <c r="Z132" s="20"/>
      <c r="AA132" s="20"/>
      <c r="AB132" s="20"/>
      <c r="AC132" s="20"/>
      <c r="AD132" s="20"/>
    </row>
    <row r="133" spans="1:30" ht="9" customHeight="1" thickBot="1" x14ac:dyDescent="0.35">
      <c r="A133" s="58"/>
      <c r="B133" s="43"/>
      <c r="C133" s="44"/>
      <c r="D133" s="45"/>
      <c r="E133" s="43"/>
      <c r="F133" s="45"/>
      <c r="G133" s="22" t="s">
        <v>46</v>
      </c>
      <c r="H133" s="37" t="str">
        <f ca="1">IF(OR(ISNA(_xlfn.XLOOKUP(INDIRECT("R[-4]C", 0), LO[Likelihood], LO[Value])),ISNA(_xlfn.XLOOKUP(INDIRECT("R[-3]C", 0), FE[Frequency], FE[Value])),ISNA(_xlfn.XLOOKUP(INDIRECT("R[-2]C", 0), DPH[Severity], DPH[Value])),ISNA(_xlfn.XLOOKUP(INDIRECT("R[-1]C", 0), NP[At Risk], NP[Value]))),"PENDING",PRODUCT(_xlfn.XLOOKUP(INDIRECT("R[-4]C", 0), LO[Likelihood], LO[Value]),_xlfn.XLOOKUP(INDIRECT("R[-3]C", 0), FE[Frequency], FE[Value]),_xlfn.XLOOKUP(INDIRECT("R[-2]C", 0), DPH[Severity], DPH[Value]),_xlfn.XLOOKUP(INDIRECT("R[-1]C", 0), NP[At Risk], NP[Value])))</f>
        <v>PENDING</v>
      </c>
      <c r="I133" s="39"/>
      <c r="J133" s="43"/>
      <c r="K133" s="44"/>
      <c r="L133" s="45"/>
      <c r="M133" s="22" t="s">
        <v>46</v>
      </c>
      <c r="N133" s="37" t="str">
        <f ca="1">IF(OR(ISNA(_xlfn.XLOOKUP(INDIRECT("R[-4]C", 0), LO[Likelihood], LO[Value])),ISNA(_xlfn.XLOOKUP(INDIRECT("R[-3]C", 0), FE[Frequency], FE[Value])),ISNA(_xlfn.XLOOKUP(INDIRECT("R[-2]C", 0), DPH[Severity], DPH[Value])),ISNA(_xlfn.XLOOKUP(INDIRECT("R[-1]C", 0), NP[At Risk], NP[Value]))),"PENDING",PRODUCT(_xlfn.XLOOKUP(INDIRECT("R[-4]C", 0), LO[Likelihood], LO[Value]),_xlfn.XLOOKUP(INDIRECT("R[-3]C", 0), FE[Frequency], FE[Value]),_xlfn.XLOOKUP(INDIRECT("R[-2]C", 0), DPH[Severity], DPH[Value]),_xlfn.XLOOKUP(INDIRECT("R[-1]C", 0), NP[At Risk], NP[Value])))</f>
        <v>PENDING</v>
      </c>
      <c r="O133" s="38"/>
      <c r="P133" s="20"/>
      <c r="Q133" s="20"/>
      <c r="R133" s="20"/>
      <c r="S133" s="20"/>
      <c r="T133" s="20"/>
      <c r="U133" s="20"/>
      <c r="V133" s="20"/>
      <c r="W133" s="20"/>
      <c r="X133" s="20"/>
      <c r="Y133" s="20"/>
      <c r="Z133" s="20"/>
      <c r="AA133" s="20"/>
      <c r="AB133" s="20"/>
      <c r="AC133" s="20"/>
      <c r="AD133" s="20"/>
    </row>
    <row r="134" spans="1:30" ht="9" customHeight="1" x14ac:dyDescent="0.3">
      <c r="B134" s="31"/>
      <c r="C134" s="31"/>
      <c r="D134" s="31"/>
      <c r="E134" s="31"/>
      <c r="F134" s="31"/>
      <c r="G134" s="31"/>
      <c r="H134" s="31"/>
      <c r="I134" s="31"/>
      <c r="J134" s="31"/>
      <c r="K134" s="31"/>
      <c r="L134" s="31"/>
      <c r="M134" s="31"/>
      <c r="N134" s="31"/>
      <c r="O134" s="31"/>
      <c r="P134" s="20"/>
      <c r="Q134" s="20"/>
      <c r="R134" s="20"/>
      <c r="S134" s="20"/>
      <c r="T134" s="20"/>
      <c r="U134" s="20"/>
      <c r="V134" s="20"/>
      <c r="W134" s="20"/>
      <c r="X134" s="20"/>
      <c r="Y134" s="20"/>
      <c r="Z134" s="20"/>
      <c r="AA134" s="20"/>
      <c r="AB134" s="20"/>
      <c r="AC134" s="20"/>
      <c r="AD134" s="20"/>
    </row>
    <row r="135" spans="1:30" ht="9" customHeight="1" x14ac:dyDescent="0.3">
      <c r="B135" s="30"/>
      <c r="C135" s="30"/>
      <c r="D135" s="30"/>
      <c r="E135" s="30"/>
      <c r="F135" s="30"/>
      <c r="G135" s="30"/>
      <c r="H135" s="30"/>
      <c r="I135" s="30"/>
      <c r="J135" s="30"/>
      <c r="K135" s="30"/>
      <c r="L135" s="30"/>
      <c r="M135" s="30"/>
      <c r="N135" s="30"/>
      <c r="O135" s="30"/>
      <c r="P135" s="20"/>
      <c r="Q135" s="20"/>
      <c r="R135" s="20"/>
      <c r="S135" s="20"/>
      <c r="T135" s="20"/>
      <c r="U135" s="20"/>
      <c r="V135" s="20"/>
      <c r="W135" s="20"/>
      <c r="X135" s="20"/>
      <c r="Y135" s="20"/>
      <c r="Z135" s="20"/>
      <c r="AA135" s="20"/>
      <c r="AB135" s="20"/>
      <c r="AC135" s="20"/>
      <c r="AD135" s="20"/>
    </row>
    <row r="136" spans="1:30" ht="9" customHeight="1" x14ac:dyDescent="0.3">
      <c r="B136" s="30"/>
      <c r="C136" s="30"/>
      <c r="D136" s="30"/>
      <c r="E136" s="30"/>
      <c r="F136" s="30"/>
      <c r="G136" s="30"/>
      <c r="H136" s="30"/>
      <c r="I136" s="30"/>
      <c r="J136" s="30"/>
      <c r="K136" s="30"/>
      <c r="L136" s="30"/>
      <c r="M136" s="30"/>
      <c r="N136" s="30"/>
      <c r="O136" s="30"/>
      <c r="P136" s="20"/>
      <c r="Q136" s="20"/>
      <c r="R136" s="20"/>
      <c r="S136" s="20"/>
      <c r="T136" s="20"/>
      <c r="U136" s="20"/>
      <c r="V136" s="20"/>
      <c r="W136" s="20"/>
      <c r="X136" s="20"/>
      <c r="Y136" s="20"/>
      <c r="Z136" s="20"/>
      <c r="AA136" s="20"/>
      <c r="AB136" s="20"/>
      <c r="AC136" s="20"/>
      <c r="AD136" s="20"/>
    </row>
    <row r="137" spans="1:30" ht="9" customHeight="1" x14ac:dyDescent="0.3">
      <c r="G137" s="27"/>
      <c r="H137" s="27"/>
      <c r="I137" s="27"/>
      <c r="M137" s="27"/>
      <c r="N137" s="27"/>
      <c r="O137" s="27"/>
      <c r="P137" s="27"/>
    </row>
    <row r="138" spans="1:30" ht="9" customHeight="1" x14ac:dyDescent="0.3">
      <c r="G138" s="27"/>
      <c r="H138" s="27"/>
      <c r="I138" s="27"/>
      <c r="M138" s="27"/>
      <c r="N138" s="27"/>
      <c r="O138" s="27"/>
      <c r="P138" s="27"/>
    </row>
    <row r="139" spans="1:30" ht="9" customHeight="1" x14ac:dyDescent="0.3">
      <c r="G139" s="27"/>
      <c r="H139" s="27"/>
      <c r="I139" s="27"/>
      <c r="M139" s="27"/>
      <c r="N139" s="27"/>
      <c r="O139" s="27"/>
      <c r="P139" s="27"/>
    </row>
    <row r="140" spans="1:30" ht="9" customHeight="1" x14ac:dyDescent="0.3">
      <c r="G140" s="27"/>
      <c r="H140" s="27"/>
      <c r="I140" s="27"/>
      <c r="M140" s="27"/>
      <c r="N140" s="27"/>
      <c r="O140" s="27"/>
      <c r="P140" s="27"/>
    </row>
    <row r="141" spans="1:30" ht="9" customHeight="1" x14ac:dyDescent="0.3">
      <c r="G141" s="27"/>
      <c r="H141" s="27"/>
      <c r="I141" s="27"/>
      <c r="M141" s="27"/>
      <c r="N141" s="27"/>
      <c r="O141" s="27"/>
      <c r="P141" s="27"/>
    </row>
    <row r="142" spans="1:30" ht="9" customHeight="1" x14ac:dyDescent="0.3">
      <c r="G142" s="27"/>
      <c r="H142" s="27"/>
      <c r="I142" s="27"/>
      <c r="M142" s="27"/>
      <c r="N142" s="27"/>
      <c r="O142" s="27"/>
      <c r="P142" s="27"/>
    </row>
    <row r="143" spans="1:30" ht="9" customHeight="1" x14ac:dyDescent="0.3">
      <c r="G143" s="27"/>
      <c r="H143" s="27"/>
      <c r="I143" s="27"/>
      <c r="M143" s="27"/>
      <c r="N143" s="27"/>
      <c r="O143" s="27"/>
      <c r="P143" s="27"/>
    </row>
    <row r="144" spans="1:30" ht="9" customHeight="1" thickBot="1" x14ac:dyDescent="0.35">
      <c r="G144" s="27"/>
      <c r="H144" s="27"/>
      <c r="I144" s="27"/>
      <c r="M144" s="27"/>
      <c r="N144" s="27"/>
      <c r="O144" s="27"/>
      <c r="P144" s="27"/>
    </row>
    <row r="145" spans="1:15" ht="14.55" customHeight="1" x14ac:dyDescent="0.3">
      <c r="B145" s="51" t="s">
        <v>45</v>
      </c>
      <c r="C145" s="52"/>
      <c r="D145" s="53"/>
      <c r="E145" s="49" t="s">
        <v>60</v>
      </c>
      <c r="F145" s="50"/>
      <c r="G145" s="51" t="s">
        <v>47</v>
      </c>
      <c r="H145" s="52"/>
      <c r="I145" s="50"/>
      <c r="J145" s="51" t="s">
        <v>50</v>
      </c>
      <c r="K145" s="52"/>
      <c r="L145" s="53"/>
      <c r="M145" s="51" t="s">
        <v>44</v>
      </c>
      <c r="N145" s="52"/>
      <c r="O145" s="53"/>
    </row>
    <row r="146" spans="1:15" ht="9" customHeight="1" x14ac:dyDescent="0.3">
      <c r="A146" s="58">
        <v>25</v>
      </c>
      <c r="B146" s="40" t="s">
        <v>134</v>
      </c>
      <c r="C146" s="41"/>
      <c r="D146" s="42"/>
      <c r="E146" s="40" t="s">
        <v>146</v>
      </c>
      <c r="F146" s="42"/>
      <c r="G146" s="32" t="s">
        <v>42</v>
      </c>
      <c r="H146" s="17"/>
      <c r="I146" s="18"/>
      <c r="J146" s="40" t="s">
        <v>158</v>
      </c>
      <c r="K146" s="41"/>
      <c r="L146" s="42"/>
      <c r="M146" s="32" t="s">
        <v>42</v>
      </c>
      <c r="N146" s="17"/>
      <c r="O146" s="33"/>
    </row>
    <row r="147" spans="1:15" ht="9" customHeight="1" x14ac:dyDescent="0.3">
      <c r="A147" s="58"/>
      <c r="B147" s="40"/>
      <c r="C147" s="41"/>
      <c r="D147" s="42"/>
      <c r="E147" s="40"/>
      <c r="F147" s="42"/>
      <c r="G147" s="32" t="s">
        <v>33</v>
      </c>
      <c r="H147" s="19"/>
      <c r="I147" s="19"/>
      <c r="J147" s="40"/>
      <c r="K147" s="41"/>
      <c r="L147" s="42"/>
      <c r="M147" s="32" t="s">
        <v>33</v>
      </c>
      <c r="N147" s="19"/>
      <c r="O147" s="34"/>
    </row>
    <row r="148" spans="1:15" ht="9" customHeight="1" x14ac:dyDescent="0.3">
      <c r="A148" s="58"/>
      <c r="B148" s="40"/>
      <c r="C148" s="41"/>
      <c r="D148" s="42"/>
      <c r="E148" s="40"/>
      <c r="F148" s="42"/>
      <c r="G148" s="32" t="s">
        <v>34</v>
      </c>
      <c r="H148" s="19"/>
      <c r="I148" s="19"/>
      <c r="J148" s="40"/>
      <c r="K148" s="41"/>
      <c r="L148" s="42"/>
      <c r="M148" s="32" t="s">
        <v>34</v>
      </c>
      <c r="N148" s="19"/>
      <c r="O148" s="34"/>
    </row>
    <row r="149" spans="1:15" ht="9" customHeight="1" thickBot="1" x14ac:dyDescent="0.35">
      <c r="A149" s="58"/>
      <c r="B149" s="40"/>
      <c r="C149" s="41"/>
      <c r="D149" s="42"/>
      <c r="E149" s="40"/>
      <c r="F149" s="42"/>
      <c r="G149" s="32" t="s">
        <v>43</v>
      </c>
      <c r="H149" s="19"/>
      <c r="I149" s="19"/>
      <c r="J149" s="40"/>
      <c r="K149" s="41"/>
      <c r="L149" s="42"/>
      <c r="M149" s="32" t="s">
        <v>43</v>
      </c>
      <c r="N149" s="19"/>
      <c r="O149" s="34"/>
    </row>
    <row r="150" spans="1:15" ht="9" customHeight="1" thickBot="1" x14ac:dyDescent="0.35">
      <c r="A150" s="58"/>
      <c r="B150" s="43"/>
      <c r="C150" s="44"/>
      <c r="D150" s="45"/>
      <c r="E150" s="43"/>
      <c r="F150" s="45"/>
      <c r="G150" s="22" t="s">
        <v>46</v>
      </c>
      <c r="H150" s="37" t="str">
        <f ca="1">IF(OR(ISNA(_xlfn.XLOOKUP(INDIRECT("R[-4]C", 0), LO[Likelihood], LO[Value])),ISNA(_xlfn.XLOOKUP(INDIRECT("R[-3]C", 0), FE[Frequency], FE[Value])),ISNA(_xlfn.XLOOKUP(INDIRECT("R[-2]C", 0), DPH[Severity], DPH[Value])),ISNA(_xlfn.XLOOKUP(INDIRECT("R[-1]C", 0), NP[At Risk], NP[Value]))),"PENDING",PRODUCT(_xlfn.XLOOKUP(INDIRECT("R[-4]C", 0), LO[Likelihood], LO[Value]),_xlfn.XLOOKUP(INDIRECT("R[-3]C", 0), FE[Frequency], FE[Value]),_xlfn.XLOOKUP(INDIRECT("R[-2]C", 0), DPH[Severity], DPH[Value]),_xlfn.XLOOKUP(INDIRECT("R[-1]C", 0), NP[At Risk], NP[Value])))</f>
        <v>PENDING</v>
      </c>
      <c r="I150" s="39"/>
      <c r="J150" s="43"/>
      <c r="K150" s="44"/>
      <c r="L150" s="45"/>
      <c r="M150" s="22" t="s">
        <v>46</v>
      </c>
      <c r="N150" s="37" t="str">
        <f ca="1">IF(OR(ISNA(_xlfn.XLOOKUP(INDIRECT("R[-4]C", 0), LO[Likelihood], LO[Value])),ISNA(_xlfn.XLOOKUP(INDIRECT("R[-3]C", 0), FE[Frequency], FE[Value])),ISNA(_xlfn.XLOOKUP(INDIRECT("R[-2]C", 0), DPH[Severity], DPH[Value])),ISNA(_xlfn.XLOOKUP(INDIRECT("R[-1]C", 0), NP[At Risk], NP[Value]))),"PENDING",PRODUCT(_xlfn.XLOOKUP(INDIRECT("R[-4]C", 0), LO[Likelihood], LO[Value]),_xlfn.XLOOKUP(INDIRECT("R[-3]C", 0), FE[Frequency], FE[Value]),_xlfn.XLOOKUP(INDIRECT("R[-2]C", 0), DPH[Severity], DPH[Value]),_xlfn.XLOOKUP(INDIRECT("R[-1]C", 0), NP[At Risk], NP[Value])))</f>
        <v>PENDING</v>
      </c>
      <c r="O150" s="38"/>
    </row>
    <row r="151" spans="1:15" ht="9" customHeight="1" x14ac:dyDescent="0.3">
      <c r="A151" s="58">
        <v>26</v>
      </c>
      <c r="B151" s="46" t="s">
        <v>135</v>
      </c>
      <c r="C151" s="47"/>
      <c r="D151" s="48"/>
      <c r="E151" s="40" t="s">
        <v>147</v>
      </c>
      <c r="F151" s="42"/>
      <c r="G151" s="32" t="s">
        <v>42</v>
      </c>
      <c r="H151" s="17"/>
      <c r="I151" s="18"/>
      <c r="J151" s="40" t="s">
        <v>159</v>
      </c>
      <c r="K151" s="41"/>
      <c r="L151" s="42"/>
      <c r="M151" s="32" t="s">
        <v>42</v>
      </c>
      <c r="N151" s="17"/>
      <c r="O151" s="33"/>
    </row>
    <row r="152" spans="1:15" ht="9" customHeight="1" x14ac:dyDescent="0.3">
      <c r="A152" s="58"/>
      <c r="B152" s="40"/>
      <c r="C152" s="41"/>
      <c r="D152" s="42"/>
      <c r="E152" s="40"/>
      <c r="F152" s="42"/>
      <c r="G152" s="32" t="s">
        <v>33</v>
      </c>
      <c r="H152" s="19"/>
      <c r="I152" s="19"/>
      <c r="J152" s="40"/>
      <c r="K152" s="41"/>
      <c r="L152" s="42"/>
      <c r="M152" s="32" t="s">
        <v>33</v>
      </c>
      <c r="N152" s="19"/>
      <c r="O152" s="34"/>
    </row>
    <row r="153" spans="1:15" ht="9" customHeight="1" x14ac:dyDescent="0.3">
      <c r="A153" s="58"/>
      <c r="B153" s="40"/>
      <c r="C153" s="41"/>
      <c r="D153" s="42"/>
      <c r="E153" s="40"/>
      <c r="F153" s="42"/>
      <c r="G153" s="32" t="s">
        <v>34</v>
      </c>
      <c r="H153" s="19"/>
      <c r="I153" s="19"/>
      <c r="J153" s="40"/>
      <c r="K153" s="41"/>
      <c r="L153" s="42"/>
      <c r="M153" s="32" t="s">
        <v>34</v>
      </c>
      <c r="N153" s="19"/>
      <c r="O153" s="34"/>
    </row>
    <row r="154" spans="1:15" ht="9" customHeight="1" thickBot="1" x14ac:dyDescent="0.35">
      <c r="A154" s="58"/>
      <c r="B154" s="40"/>
      <c r="C154" s="41"/>
      <c r="D154" s="42"/>
      <c r="E154" s="40"/>
      <c r="F154" s="42"/>
      <c r="G154" s="32" t="s">
        <v>43</v>
      </c>
      <c r="H154" s="19"/>
      <c r="I154" s="19"/>
      <c r="J154" s="40"/>
      <c r="K154" s="41"/>
      <c r="L154" s="42"/>
      <c r="M154" s="32" t="s">
        <v>43</v>
      </c>
      <c r="N154" s="19"/>
      <c r="O154" s="34"/>
    </row>
    <row r="155" spans="1:15" ht="9" customHeight="1" thickBot="1" x14ac:dyDescent="0.35">
      <c r="A155" s="58"/>
      <c r="B155" s="43"/>
      <c r="C155" s="44"/>
      <c r="D155" s="45"/>
      <c r="E155" s="43"/>
      <c r="F155" s="45"/>
      <c r="G155" s="22" t="s">
        <v>46</v>
      </c>
      <c r="H155" s="37" t="str">
        <f ca="1">IF(OR(ISNA(_xlfn.XLOOKUP(INDIRECT("R[-4]C", 0), LO[Likelihood], LO[Value])),ISNA(_xlfn.XLOOKUP(INDIRECT("R[-3]C", 0), FE[Frequency], FE[Value])),ISNA(_xlfn.XLOOKUP(INDIRECT("R[-2]C", 0), DPH[Severity], DPH[Value])),ISNA(_xlfn.XLOOKUP(INDIRECT("R[-1]C", 0), NP[At Risk], NP[Value]))),"PENDING",PRODUCT(_xlfn.XLOOKUP(INDIRECT("R[-4]C", 0), LO[Likelihood], LO[Value]),_xlfn.XLOOKUP(INDIRECT("R[-3]C", 0), FE[Frequency], FE[Value]),_xlfn.XLOOKUP(INDIRECT("R[-2]C", 0), DPH[Severity], DPH[Value]),_xlfn.XLOOKUP(INDIRECT("R[-1]C", 0), NP[At Risk], NP[Value])))</f>
        <v>PENDING</v>
      </c>
      <c r="I155" s="39"/>
      <c r="J155" s="43"/>
      <c r="K155" s="44"/>
      <c r="L155" s="45"/>
      <c r="M155" s="22" t="s">
        <v>46</v>
      </c>
      <c r="N155" s="37" t="str">
        <f ca="1">IF(OR(ISNA(_xlfn.XLOOKUP(INDIRECT("R[-4]C", 0), LO[Likelihood], LO[Value])),ISNA(_xlfn.XLOOKUP(INDIRECT("R[-3]C", 0), FE[Frequency], FE[Value])),ISNA(_xlfn.XLOOKUP(INDIRECT("R[-2]C", 0), DPH[Severity], DPH[Value])),ISNA(_xlfn.XLOOKUP(INDIRECT("R[-1]C", 0), NP[At Risk], NP[Value]))),"PENDING",PRODUCT(_xlfn.XLOOKUP(INDIRECT("R[-4]C", 0), LO[Likelihood], LO[Value]),_xlfn.XLOOKUP(INDIRECT("R[-3]C", 0), FE[Frequency], FE[Value]),_xlfn.XLOOKUP(INDIRECT("R[-2]C", 0), DPH[Severity], DPH[Value]),_xlfn.XLOOKUP(INDIRECT("R[-1]C", 0), NP[At Risk], NP[Value])))</f>
        <v>PENDING</v>
      </c>
      <c r="O155" s="38"/>
    </row>
    <row r="156" spans="1:15" ht="9" customHeight="1" x14ac:dyDescent="0.3">
      <c r="A156" s="58">
        <v>27</v>
      </c>
      <c r="B156" s="40" t="s">
        <v>136</v>
      </c>
      <c r="C156" s="41"/>
      <c r="D156" s="42"/>
      <c r="E156" s="40" t="s">
        <v>148</v>
      </c>
      <c r="F156" s="42"/>
      <c r="G156" s="32" t="s">
        <v>42</v>
      </c>
      <c r="H156" s="17"/>
      <c r="I156" s="18"/>
      <c r="J156" s="40" t="s">
        <v>160</v>
      </c>
      <c r="K156" s="41"/>
      <c r="L156" s="42"/>
      <c r="M156" s="32" t="s">
        <v>42</v>
      </c>
      <c r="N156" s="17"/>
      <c r="O156" s="33"/>
    </row>
    <row r="157" spans="1:15" ht="9" customHeight="1" x14ac:dyDescent="0.3">
      <c r="A157" s="58"/>
      <c r="B157" s="40"/>
      <c r="C157" s="41"/>
      <c r="D157" s="42"/>
      <c r="E157" s="40"/>
      <c r="F157" s="42"/>
      <c r="G157" s="32" t="s">
        <v>33</v>
      </c>
      <c r="H157" s="19"/>
      <c r="I157" s="19"/>
      <c r="J157" s="40"/>
      <c r="K157" s="41"/>
      <c r="L157" s="42"/>
      <c r="M157" s="32" t="s">
        <v>33</v>
      </c>
      <c r="N157" s="19"/>
      <c r="O157" s="34"/>
    </row>
    <row r="158" spans="1:15" ht="9" customHeight="1" x14ac:dyDescent="0.3">
      <c r="A158" s="58"/>
      <c r="B158" s="40"/>
      <c r="C158" s="41"/>
      <c r="D158" s="42"/>
      <c r="E158" s="40"/>
      <c r="F158" s="42"/>
      <c r="G158" s="32" t="s">
        <v>34</v>
      </c>
      <c r="H158" s="19"/>
      <c r="I158" s="19"/>
      <c r="J158" s="40"/>
      <c r="K158" s="41"/>
      <c r="L158" s="42"/>
      <c r="M158" s="32" t="s">
        <v>34</v>
      </c>
      <c r="N158" s="19"/>
      <c r="O158" s="34"/>
    </row>
    <row r="159" spans="1:15" ht="9" customHeight="1" thickBot="1" x14ac:dyDescent="0.35">
      <c r="A159" s="58"/>
      <c r="B159" s="40"/>
      <c r="C159" s="41"/>
      <c r="D159" s="42"/>
      <c r="E159" s="40"/>
      <c r="F159" s="42"/>
      <c r="G159" s="32" t="s">
        <v>43</v>
      </c>
      <c r="H159" s="19"/>
      <c r="I159" s="19"/>
      <c r="J159" s="40"/>
      <c r="K159" s="41"/>
      <c r="L159" s="42"/>
      <c r="M159" s="32" t="s">
        <v>43</v>
      </c>
      <c r="N159" s="19"/>
      <c r="O159" s="34"/>
    </row>
    <row r="160" spans="1:15" ht="9" customHeight="1" thickBot="1" x14ac:dyDescent="0.35">
      <c r="A160" s="58"/>
      <c r="B160" s="43"/>
      <c r="C160" s="44"/>
      <c r="D160" s="45"/>
      <c r="E160" s="43"/>
      <c r="F160" s="45"/>
      <c r="G160" s="22" t="s">
        <v>46</v>
      </c>
      <c r="H160" s="37" t="str">
        <f ca="1">IF(OR(ISNA(_xlfn.XLOOKUP(INDIRECT("R[-4]C", 0), LO[Likelihood], LO[Value])),ISNA(_xlfn.XLOOKUP(INDIRECT("R[-3]C", 0), FE[Frequency], FE[Value])),ISNA(_xlfn.XLOOKUP(INDIRECT("R[-2]C", 0), DPH[Severity], DPH[Value])),ISNA(_xlfn.XLOOKUP(INDIRECT("R[-1]C", 0), NP[At Risk], NP[Value]))),"PENDING",PRODUCT(_xlfn.XLOOKUP(INDIRECT("R[-4]C", 0), LO[Likelihood], LO[Value]),_xlfn.XLOOKUP(INDIRECT("R[-3]C", 0), FE[Frequency], FE[Value]),_xlfn.XLOOKUP(INDIRECT("R[-2]C", 0), DPH[Severity], DPH[Value]),_xlfn.XLOOKUP(INDIRECT("R[-1]C", 0), NP[At Risk], NP[Value])))</f>
        <v>PENDING</v>
      </c>
      <c r="I160" s="39"/>
      <c r="J160" s="43"/>
      <c r="K160" s="44"/>
      <c r="L160" s="45"/>
      <c r="M160" s="22" t="s">
        <v>46</v>
      </c>
      <c r="N160" s="37" t="str">
        <f ca="1">IF(OR(ISNA(_xlfn.XLOOKUP(INDIRECT("R[-4]C", 0), LO[Likelihood], LO[Value])),ISNA(_xlfn.XLOOKUP(INDIRECT("R[-3]C", 0), FE[Frequency], FE[Value])),ISNA(_xlfn.XLOOKUP(INDIRECT("R[-2]C", 0), DPH[Severity], DPH[Value])),ISNA(_xlfn.XLOOKUP(INDIRECT("R[-1]C", 0), NP[At Risk], NP[Value]))),"PENDING",PRODUCT(_xlfn.XLOOKUP(INDIRECT("R[-4]C", 0), LO[Likelihood], LO[Value]),_xlfn.XLOOKUP(INDIRECT("R[-3]C", 0), FE[Frequency], FE[Value]),_xlfn.XLOOKUP(INDIRECT("R[-2]C", 0), DPH[Severity], DPH[Value]),_xlfn.XLOOKUP(INDIRECT("R[-1]C", 0), NP[At Risk], NP[Value])))</f>
        <v>PENDING</v>
      </c>
      <c r="O160" s="38"/>
    </row>
    <row r="161" spans="1:15" ht="9" customHeight="1" x14ac:dyDescent="0.3">
      <c r="A161" s="58">
        <v>28</v>
      </c>
      <c r="B161" s="46" t="s">
        <v>137</v>
      </c>
      <c r="C161" s="47"/>
      <c r="D161" s="48"/>
      <c r="E161" s="40" t="s">
        <v>149</v>
      </c>
      <c r="F161" s="42"/>
      <c r="G161" s="32" t="s">
        <v>42</v>
      </c>
      <c r="H161" s="17"/>
      <c r="I161" s="18"/>
      <c r="J161" s="40" t="s">
        <v>161</v>
      </c>
      <c r="K161" s="41"/>
      <c r="L161" s="42"/>
      <c r="M161" s="32" t="s">
        <v>42</v>
      </c>
      <c r="N161" s="17"/>
      <c r="O161" s="33"/>
    </row>
    <row r="162" spans="1:15" ht="9" customHeight="1" x14ac:dyDescent="0.3">
      <c r="A162" s="58"/>
      <c r="B162" s="40"/>
      <c r="C162" s="41"/>
      <c r="D162" s="42"/>
      <c r="E162" s="40"/>
      <c r="F162" s="42"/>
      <c r="G162" s="32" t="s">
        <v>33</v>
      </c>
      <c r="H162" s="19"/>
      <c r="I162" s="19"/>
      <c r="J162" s="40"/>
      <c r="K162" s="41"/>
      <c r="L162" s="42"/>
      <c r="M162" s="32" t="s">
        <v>33</v>
      </c>
      <c r="N162" s="19"/>
      <c r="O162" s="34"/>
    </row>
    <row r="163" spans="1:15" ht="9" customHeight="1" x14ac:dyDescent="0.3">
      <c r="A163" s="58"/>
      <c r="B163" s="40"/>
      <c r="C163" s="41"/>
      <c r="D163" s="42"/>
      <c r="E163" s="40"/>
      <c r="F163" s="42"/>
      <c r="G163" s="32" t="s">
        <v>34</v>
      </c>
      <c r="H163" s="19"/>
      <c r="I163" s="19"/>
      <c r="J163" s="40"/>
      <c r="K163" s="41"/>
      <c r="L163" s="42"/>
      <c r="M163" s="32" t="s">
        <v>34</v>
      </c>
      <c r="N163" s="19"/>
      <c r="O163" s="34"/>
    </row>
    <row r="164" spans="1:15" ht="9" customHeight="1" thickBot="1" x14ac:dyDescent="0.35">
      <c r="A164" s="58"/>
      <c r="B164" s="40"/>
      <c r="C164" s="41"/>
      <c r="D164" s="42"/>
      <c r="E164" s="40"/>
      <c r="F164" s="42"/>
      <c r="G164" s="32" t="s">
        <v>43</v>
      </c>
      <c r="H164" s="19"/>
      <c r="I164" s="19"/>
      <c r="J164" s="40"/>
      <c r="K164" s="41"/>
      <c r="L164" s="42"/>
      <c r="M164" s="32" t="s">
        <v>43</v>
      </c>
      <c r="N164" s="19"/>
      <c r="O164" s="34"/>
    </row>
    <row r="165" spans="1:15" ht="9" customHeight="1" thickBot="1" x14ac:dyDescent="0.35">
      <c r="A165" s="58"/>
      <c r="B165" s="43"/>
      <c r="C165" s="44"/>
      <c r="D165" s="45"/>
      <c r="E165" s="43"/>
      <c r="F165" s="45"/>
      <c r="G165" s="22" t="s">
        <v>46</v>
      </c>
      <c r="H165" s="37" t="str">
        <f ca="1">IF(OR(ISNA(_xlfn.XLOOKUP(INDIRECT("R[-4]C", 0), LO[Likelihood], LO[Value])),ISNA(_xlfn.XLOOKUP(INDIRECT("R[-3]C", 0), FE[Frequency], FE[Value])),ISNA(_xlfn.XLOOKUP(INDIRECT("R[-2]C", 0), DPH[Severity], DPH[Value])),ISNA(_xlfn.XLOOKUP(INDIRECT("R[-1]C", 0), NP[At Risk], NP[Value]))),"PENDING",PRODUCT(_xlfn.XLOOKUP(INDIRECT("R[-4]C", 0), LO[Likelihood], LO[Value]),_xlfn.XLOOKUP(INDIRECT("R[-3]C", 0), FE[Frequency], FE[Value]),_xlfn.XLOOKUP(INDIRECT("R[-2]C", 0), DPH[Severity], DPH[Value]),_xlfn.XLOOKUP(INDIRECT("R[-1]C", 0), NP[At Risk], NP[Value])))</f>
        <v>PENDING</v>
      </c>
      <c r="I165" s="39"/>
      <c r="J165" s="43"/>
      <c r="K165" s="44"/>
      <c r="L165" s="45"/>
      <c r="M165" s="22" t="s">
        <v>46</v>
      </c>
      <c r="N165" s="37" t="str">
        <f ca="1">IF(OR(ISNA(_xlfn.XLOOKUP(INDIRECT("R[-4]C", 0), LO[Likelihood], LO[Value])),ISNA(_xlfn.XLOOKUP(INDIRECT("R[-3]C", 0), FE[Frequency], FE[Value])),ISNA(_xlfn.XLOOKUP(INDIRECT("R[-2]C", 0), DPH[Severity], DPH[Value])),ISNA(_xlfn.XLOOKUP(INDIRECT("R[-1]C", 0), NP[At Risk], NP[Value]))),"PENDING",PRODUCT(_xlfn.XLOOKUP(INDIRECT("R[-4]C", 0), LO[Likelihood], LO[Value]),_xlfn.XLOOKUP(INDIRECT("R[-3]C", 0), FE[Frequency], FE[Value]),_xlfn.XLOOKUP(INDIRECT("R[-2]C", 0), DPH[Severity], DPH[Value]),_xlfn.XLOOKUP(INDIRECT("R[-1]C", 0), NP[At Risk], NP[Value])))</f>
        <v>PENDING</v>
      </c>
      <c r="O165" s="38"/>
    </row>
    <row r="166" spans="1:15" ht="9" customHeight="1" x14ac:dyDescent="0.3">
      <c r="A166" s="58">
        <v>29</v>
      </c>
      <c r="B166" s="40" t="s">
        <v>138</v>
      </c>
      <c r="C166" s="41"/>
      <c r="D166" s="42"/>
      <c r="E166" s="40" t="s">
        <v>150</v>
      </c>
      <c r="F166" s="42"/>
      <c r="G166" s="32" t="s">
        <v>42</v>
      </c>
      <c r="H166" s="17"/>
      <c r="I166" s="18"/>
      <c r="J166" s="40" t="s">
        <v>162</v>
      </c>
      <c r="K166" s="41"/>
      <c r="L166" s="42"/>
      <c r="M166" s="32" t="s">
        <v>42</v>
      </c>
      <c r="N166" s="17"/>
      <c r="O166" s="33"/>
    </row>
    <row r="167" spans="1:15" ht="9" customHeight="1" x14ac:dyDescent="0.3">
      <c r="A167" s="58"/>
      <c r="B167" s="40"/>
      <c r="C167" s="41"/>
      <c r="D167" s="42"/>
      <c r="E167" s="40"/>
      <c r="F167" s="42"/>
      <c r="G167" s="32" t="s">
        <v>33</v>
      </c>
      <c r="H167" s="19"/>
      <c r="I167" s="19"/>
      <c r="J167" s="40"/>
      <c r="K167" s="41"/>
      <c r="L167" s="42"/>
      <c r="M167" s="32" t="s">
        <v>33</v>
      </c>
      <c r="N167" s="19"/>
      <c r="O167" s="34"/>
    </row>
    <row r="168" spans="1:15" ht="9" customHeight="1" x14ac:dyDescent="0.3">
      <c r="A168" s="58"/>
      <c r="B168" s="40"/>
      <c r="C168" s="41"/>
      <c r="D168" s="42"/>
      <c r="E168" s="40"/>
      <c r="F168" s="42"/>
      <c r="G168" s="32" t="s">
        <v>34</v>
      </c>
      <c r="H168" s="19"/>
      <c r="I168" s="19"/>
      <c r="J168" s="40"/>
      <c r="K168" s="41"/>
      <c r="L168" s="42"/>
      <c r="M168" s="32" t="s">
        <v>34</v>
      </c>
      <c r="N168" s="19"/>
      <c r="O168" s="34"/>
    </row>
    <row r="169" spans="1:15" ht="9" customHeight="1" thickBot="1" x14ac:dyDescent="0.35">
      <c r="A169" s="58"/>
      <c r="B169" s="40"/>
      <c r="C169" s="41"/>
      <c r="D169" s="42"/>
      <c r="E169" s="40"/>
      <c r="F169" s="42"/>
      <c r="G169" s="32" t="s">
        <v>43</v>
      </c>
      <c r="H169" s="19"/>
      <c r="I169" s="19"/>
      <c r="J169" s="40"/>
      <c r="K169" s="41"/>
      <c r="L169" s="42"/>
      <c r="M169" s="32" t="s">
        <v>43</v>
      </c>
      <c r="N169" s="19"/>
      <c r="O169" s="34"/>
    </row>
    <row r="170" spans="1:15" ht="9" customHeight="1" thickBot="1" x14ac:dyDescent="0.35">
      <c r="A170" s="58"/>
      <c r="B170" s="43"/>
      <c r="C170" s="44"/>
      <c r="D170" s="45"/>
      <c r="E170" s="43"/>
      <c r="F170" s="45"/>
      <c r="G170" s="22" t="s">
        <v>46</v>
      </c>
      <c r="H170" s="37" t="str">
        <f ca="1">IF(OR(ISNA(_xlfn.XLOOKUP(INDIRECT("R[-4]C", 0), LO[Likelihood], LO[Value])),ISNA(_xlfn.XLOOKUP(INDIRECT("R[-3]C", 0), FE[Frequency], FE[Value])),ISNA(_xlfn.XLOOKUP(INDIRECT("R[-2]C", 0), DPH[Severity], DPH[Value])),ISNA(_xlfn.XLOOKUP(INDIRECT("R[-1]C", 0), NP[At Risk], NP[Value]))),"PENDING",PRODUCT(_xlfn.XLOOKUP(INDIRECT("R[-4]C", 0), LO[Likelihood], LO[Value]),_xlfn.XLOOKUP(INDIRECT("R[-3]C", 0), FE[Frequency], FE[Value]),_xlfn.XLOOKUP(INDIRECT("R[-2]C", 0), DPH[Severity], DPH[Value]),_xlfn.XLOOKUP(INDIRECT("R[-1]C", 0), NP[At Risk], NP[Value])))</f>
        <v>PENDING</v>
      </c>
      <c r="I170" s="39"/>
      <c r="J170" s="43"/>
      <c r="K170" s="44"/>
      <c r="L170" s="45"/>
      <c r="M170" s="22" t="s">
        <v>46</v>
      </c>
      <c r="N170" s="37" t="str">
        <f ca="1">IF(OR(ISNA(_xlfn.XLOOKUP(INDIRECT("R[-4]C", 0), LO[Likelihood], LO[Value])),ISNA(_xlfn.XLOOKUP(INDIRECT("R[-3]C", 0), FE[Frequency], FE[Value])),ISNA(_xlfn.XLOOKUP(INDIRECT("R[-2]C", 0), DPH[Severity], DPH[Value])),ISNA(_xlfn.XLOOKUP(INDIRECT("R[-1]C", 0), NP[At Risk], NP[Value]))),"PENDING",PRODUCT(_xlfn.XLOOKUP(INDIRECT("R[-4]C", 0), LO[Likelihood], LO[Value]),_xlfn.XLOOKUP(INDIRECT("R[-3]C", 0), FE[Frequency], FE[Value]),_xlfn.XLOOKUP(INDIRECT("R[-2]C", 0), DPH[Severity], DPH[Value]),_xlfn.XLOOKUP(INDIRECT("R[-1]C", 0), NP[At Risk], NP[Value])))</f>
        <v>PENDING</v>
      </c>
      <c r="O170" s="38"/>
    </row>
    <row r="171" spans="1:15" ht="9" customHeight="1" x14ac:dyDescent="0.3">
      <c r="A171" s="58">
        <v>30</v>
      </c>
      <c r="B171" s="46" t="s">
        <v>139</v>
      </c>
      <c r="C171" s="47"/>
      <c r="D171" s="48"/>
      <c r="E171" s="40" t="s">
        <v>151</v>
      </c>
      <c r="F171" s="42"/>
      <c r="G171" s="32" t="s">
        <v>42</v>
      </c>
      <c r="H171" s="17"/>
      <c r="I171" s="18"/>
      <c r="J171" s="40" t="s">
        <v>163</v>
      </c>
      <c r="K171" s="41"/>
      <c r="L171" s="42"/>
      <c r="M171" s="32" t="s">
        <v>42</v>
      </c>
      <c r="N171" s="17"/>
      <c r="O171" s="33"/>
    </row>
    <row r="172" spans="1:15" ht="9" customHeight="1" x14ac:dyDescent="0.3">
      <c r="A172" s="58"/>
      <c r="B172" s="40"/>
      <c r="C172" s="41"/>
      <c r="D172" s="42"/>
      <c r="E172" s="40"/>
      <c r="F172" s="42"/>
      <c r="G172" s="32" t="s">
        <v>33</v>
      </c>
      <c r="H172" s="19"/>
      <c r="I172" s="19"/>
      <c r="J172" s="40"/>
      <c r="K172" s="41"/>
      <c r="L172" s="42"/>
      <c r="M172" s="32" t="s">
        <v>33</v>
      </c>
      <c r="N172" s="19"/>
      <c r="O172" s="34"/>
    </row>
    <row r="173" spans="1:15" ht="9" customHeight="1" x14ac:dyDescent="0.3">
      <c r="A173" s="58"/>
      <c r="B173" s="40"/>
      <c r="C173" s="41"/>
      <c r="D173" s="42"/>
      <c r="E173" s="40"/>
      <c r="F173" s="42"/>
      <c r="G173" s="32" t="s">
        <v>34</v>
      </c>
      <c r="H173" s="19"/>
      <c r="I173" s="19"/>
      <c r="J173" s="40"/>
      <c r="K173" s="41"/>
      <c r="L173" s="42"/>
      <c r="M173" s="32" t="s">
        <v>34</v>
      </c>
      <c r="N173" s="19"/>
      <c r="O173" s="34"/>
    </row>
    <row r="174" spans="1:15" ht="9" customHeight="1" thickBot="1" x14ac:dyDescent="0.35">
      <c r="A174" s="58"/>
      <c r="B174" s="40"/>
      <c r="C174" s="41"/>
      <c r="D174" s="42"/>
      <c r="E174" s="40"/>
      <c r="F174" s="42"/>
      <c r="G174" s="32" t="s">
        <v>43</v>
      </c>
      <c r="H174" s="19"/>
      <c r="I174" s="19"/>
      <c r="J174" s="40"/>
      <c r="K174" s="41"/>
      <c r="L174" s="42"/>
      <c r="M174" s="32" t="s">
        <v>43</v>
      </c>
      <c r="N174" s="19"/>
      <c r="O174" s="34"/>
    </row>
    <row r="175" spans="1:15" ht="9" customHeight="1" thickBot="1" x14ac:dyDescent="0.35">
      <c r="A175" s="58"/>
      <c r="B175" s="43"/>
      <c r="C175" s="44"/>
      <c r="D175" s="45"/>
      <c r="E175" s="43"/>
      <c r="F175" s="45"/>
      <c r="G175" s="22" t="s">
        <v>46</v>
      </c>
      <c r="H175" s="37" t="str">
        <f ca="1">IF(OR(ISNA(_xlfn.XLOOKUP(INDIRECT("R[-4]C", 0), LO[Likelihood], LO[Value])),ISNA(_xlfn.XLOOKUP(INDIRECT("R[-3]C", 0), FE[Frequency], FE[Value])),ISNA(_xlfn.XLOOKUP(INDIRECT("R[-2]C", 0), DPH[Severity], DPH[Value])),ISNA(_xlfn.XLOOKUP(INDIRECT("R[-1]C", 0), NP[At Risk], NP[Value]))),"PENDING",PRODUCT(_xlfn.XLOOKUP(INDIRECT("R[-4]C", 0), LO[Likelihood], LO[Value]),_xlfn.XLOOKUP(INDIRECT("R[-3]C", 0), FE[Frequency], FE[Value]),_xlfn.XLOOKUP(INDIRECT("R[-2]C", 0), DPH[Severity], DPH[Value]),_xlfn.XLOOKUP(INDIRECT("R[-1]C", 0), NP[At Risk], NP[Value])))</f>
        <v>PENDING</v>
      </c>
      <c r="I175" s="39"/>
      <c r="J175" s="43"/>
      <c r="K175" s="44"/>
      <c r="L175" s="45"/>
      <c r="M175" s="22" t="s">
        <v>46</v>
      </c>
      <c r="N175" s="37" t="str">
        <f ca="1">IF(OR(ISNA(_xlfn.XLOOKUP(INDIRECT("R[-4]C", 0), LO[Likelihood], LO[Value])),ISNA(_xlfn.XLOOKUP(INDIRECT("R[-3]C", 0), FE[Frequency], FE[Value])),ISNA(_xlfn.XLOOKUP(INDIRECT("R[-2]C", 0), DPH[Severity], DPH[Value])),ISNA(_xlfn.XLOOKUP(INDIRECT("R[-1]C", 0), NP[At Risk], NP[Value]))),"PENDING",PRODUCT(_xlfn.XLOOKUP(INDIRECT("R[-4]C", 0), LO[Likelihood], LO[Value]),_xlfn.XLOOKUP(INDIRECT("R[-3]C", 0), FE[Frequency], FE[Value]),_xlfn.XLOOKUP(INDIRECT("R[-2]C", 0), DPH[Severity], DPH[Value]),_xlfn.XLOOKUP(INDIRECT("R[-1]C", 0), NP[At Risk], NP[Value])))</f>
        <v>PENDING</v>
      </c>
      <c r="O175" s="38"/>
    </row>
    <row r="176" spans="1:15" ht="9" customHeight="1" x14ac:dyDescent="0.3">
      <c r="A176" s="58">
        <v>31</v>
      </c>
      <c r="B176" s="40" t="s">
        <v>140</v>
      </c>
      <c r="C176" s="41"/>
      <c r="D176" s="42"/>
      <c r="E176" s="40" t="s">
        <v>152</v>
      </c>
      <c r="F176" s="42"/>
      <c r="G176" s="32" t="s">
        <v>42</v>
      </c>
      <c r="H176" s="17"/>
      <c r="I176" s="18"/>
      <c r="J176" s="40" t="s">
        <v>164</v>
      </c>
      <c r="K176" s="41"/>
      <c r="L176" s="42"/>
      <c r="M176" s="32" t="s">
        <v>42</v>
      </c>
      <c r="N176" s="17"/>
      <c r="O176" s="33"/>
    </row>
    <row r="177" spans="1:30" ht="9" customHeight="1" x14ac:dyDescent="0.3">
      <c r="A177" s="58"/>
      <c r="B177" s="40"/>
      <c r="C177" s="41"/>
      <c r="D177" s="42"/>
      <c r="E177" s="40"/>
      <c r="F177" s="42"/>
      <c r="G177" s="32" t="s">
        <v>33</v>
      </c>
      <c r="H177" s="19"/>
      <c r="I177" s="19"/>
      <c r="J177" s="40"/>
      <c r="K177" s="41"/>
      <c r="L177" s="42"/>
      <c r="M177" s="32" t="s">
        <v>33</v>
      </c>
      <c r="N177" s="19"/>
      <c r="O177" s="34"/>
    </row>
    <row r="178" spans="1:30" ht="9" customHeight="1" x14ac:dyDescent="0.3">
      <c r="A178" s="58"/>
      <c r="B178" s="40"/>
      <c r="C178" s="41"/>
      <c r="D178" s="42"/>
      <c r="E178" s="40"/>
      <c r="F178" s="42"/>
      <c r="G178" s="32" t="s">
        <v>34</v>
      </c>
      <c r="H178" s="19"/>
      <c r="I178" s="19"/>
      <c r="J178" s="40"/>
      <c r="K178" s="41"/>
      <c r="L178" s="42"/>
      <c r="M178" s="32" t="s">
        <v>34</v>
      </c>
      <c r="N178" s="19"/>
      <c r="O178" s="34"/>
    </row>
    <row r="179" spans="1:30" ht="9" customHeight="1" thickBot="1" x14ac:dyDescent="0.35">
      <c r="A179" s="58"/>
      <c r="B179" s="40"/>
      <c r="C179" s="41"/>
      <c r="D179" s="42"/>
      <c r="E179" s="40"/>
      <c r="F179" s="42"/>
      <c r="G179" s="32" t="s">
        <v>43</v>
      </c>
      <c r="H179" s="19"/>
      <c r="I179" s="19"/>
      <c r="J179" s="40"/>
      <c r="K179" s="41"/>
      <c r="L179" s="42"/>
      <c r="M179" s="32" t="s">
        <v>43</v>
      </c>
      <c r="N179" s="19"/>
      <c r="O179" s="34"/>
    </row>
    <row r="180" spans="1:30" ht="9" customHeight="1" thickBot="1" x14ac:dyDescent="0.35">
      <c r="A180" s="58"/>
      <c r="B180" s="43"/>
      <c r="C180" s="44"/>
      <c r="D180" s="45"/>
      <c r="E180" s="43"/>
      <c r="F180" s="45"/>
      <c r="G180" s="22" t="s">
        <v>46</v>
      </c>
      <c r="H180" s="37" t="str">
        <f ca="1">IF(OR(ISNA(_xlfn.XLOOKUP(INDIRECT("R[-4]C", 0), LO[Likelihood], LO[Value])),ISNA(_xlfn.XLOOKUP(INDIRECT("R[-3]C", 0), FE[Frequency], FE[Value])),ISNA(_xlfn.XLOOKUP(INDIRECT("R[-2]C", 0), DPH[Severity], DPH[Value])),ISNA(_xlfn.XLOOKUP(INDIRECT("R[-1]C", 0), NP[At Risk], NP[Value]))),"PENDING",PRODUCT(_xlfn.XLOOKUP(INDIRECT("R[-4]C", 0), LO[Likelihood], LO[Value]),_xlfn.XLOOKUP(INDIRECT("R[-3]C", 0), FE[Frequency], FE[Value]),_xlfn.XLOOKUP(INDIRECT("R[-2]C", 0), DPH[Severity], DPH[Value]),_xlfn.XLOOKUP(INDIRECT("R[-1]C", 0), NP[At Risk], NP[Value])))</f>
        <v>PENDING</v>
      </c>
      <c r="I180" s="39"/>
      <c r="J180" s="43"/>
      <c r="K180" s="44"/>
      <c r="L180" s="45"/>
      <c r="M180" s="22" t="s">
        <v>46</v>
      </c>
      <c r="N180" s="37" t="str">
        <f ca="1">IF(OR(ISNA(_xlfn.XLOOKUP(INDIRECT("R[-4]C", 0), LO[Likelihood], LO[Value])),ISNA(_xlfn.XLOOKUP(INDIRECT("R[-3]C", 0), FE[Frequency], FE[Value])),ISNA(_xlfn.XLOOKUP(INDIRECT("R[-2]C", 0), DPH[Severity], DPH[Value])),ISNA(_xlfn.XLOOKUP(INDIRECT("R[-1]C", 0), NP[At Risk], NP[Value]))),"PENDING",PRODUCT(_xlfn.XLOOKUP(INDIRECT("R[-4]C", 0), LO[Likelihood], LO[Value]),_xlfn.XLOOKUP(INDIRECT("R[-3]C", 0), FE[Frequency], FE[Value]),_xlfn.XLOOKUP(INDIRECT("R[-2]C", 0), DPH[Severity], DPH[Value]),_xlfn.XLOOKUP(INDIRECT("R[-1]C", 0), NP[At Risk], NP[Value])))</f>
        <v>PENDING</v>
      </c>
      <c r="O180" s="38"/>
    </row>
    <row r="181" spans="1:30" ht="9" customHeight="1" x14ac:dyDescent="0.3">
      <c r="A181" s="58">
        <v>32</v>
      </c>
      <c r="B181" s="46" t="s">
        <v>141</v>
      </c>
      <c r="C181" s="47"/>
      <c r="D181" s="48"/>
      <c r="E181" s="40" t="s">
        <v>153</v>
      </c>
      <c r="F181" s="42"/>
      <c r="G181" s="32" t="s">
        <v>42</v>
      </c>
      <c r="H181" s="17"/>
      <c r="I181" s="18"/>
      <c r="J181" s="40" t="s">
        <v>165</v>
      </c>
      <c r="K181" s="41"/>
      <c r="L181" s="42"/>
      <c r="M181" s="32" t="s">
        <v>42</v>
      </c>
      <c r="N181" s="17"/>
      <c r="O181" s="33"/>
    </row>
    <row r="182" spans="1:30" ht="9" customHeight="1" x14ac:dyDescent="0.3">
      <c r="A182" s="58"/>
      <c r="B182" s="40"/>
      <c r="C182" s="41"/>
      <c r="D182" s="42"/>
      <c r="E182" s="40"/>
      <c r="F182" s="42"/>
      <c r="G182" s="32" t="s">
        <v>33</v>
      </c>
      <c r="H182" s="19"/>
      <c r="I182" s="19"/>
      <c r="J182" s="40"/>
      <c r="K182" s="41"/>
      <c r="L182" s="42"/>
      <c r="M182" s="32" t="s">
        <v>33</v>
      </c>
      <c r="N182" s="19"/>
      <c r="O182" s="34"/>
    </row>
    <row r="183" spans="1:30" ht="9" customHeight="1" x14ac:dyDescent="0.3">
      <c r="A183" s="58"/>
      <c r="B183" s="40"/>
      <c r="C183" s="41"/>
      <c r="D183" s="42"/>
      <c r="E183" s="40"/>
      <c r="F183" s="42"/>
      <c r="G183" s="32" t="s">
        <v>34</v>
      </c>
      <c r="H183" s="19"/>
      <c r="I183" s="19"/>
      <c r="J183" s="40"/>
      <c r="K183" s="41"/>
      <c r="L183" s="42"/>
      <c r="M183" s="32" t="s">
        <v>34</v>
      </c>
      <c r="N183" s="19"/>
      <c r="O183" s="34"/>
    </row>
    <row r="184" spans="1:30" ht="9" customHeight="1" thickBot="1" x14ac:dyDescent="0.35">
      <c r="A184" s="58"/>
      <c r="B184" s="40"/>
      <c r="C184" s="41"/>
      <c r="D184" s="42"/>
      <c r="E184" s="40"/>
      <c r="F184" s="42"/>
      <c r="G184" s="32" t="s">
        <v>43</v>
      </c>
      <c r="H184" s="19"/>
      <c r="I184" s="19"/>
      <c r="J184" s="40"/>
      <c r="K184" s="41"/>
      <c r="L184" s="42"/>
      <c r="M184" s="32" t="s">
        <v>43</v>
      </c>
      <c r="N184" s="19"/>
      <c r="O184" s="34"/>
    </row>
    <row r="185" spans="1:30" ht="9" customHeight="1" thickBot="1" x14ac:dyDescent="0.35">
      <c r="A185" s="58"/>
      <c r="B185" s="43"/>
      <c r="C185" s="44"/>
      <c r="D185" s="45"/>
      <c r="E185" s="43"/>
      <c r="F185" s="45"/>
      <c r="G185" s="22" t="s">
        <v>46</v>
      </c>
      <c r="H185" s="37" t="str">
        <f ca="1">IF(OR(ISNA(_xlfn.XLOOKUP(INDIRECT("R[-4]C", 0), LO[Likelihood], LO[Value])),ISNA(_xlfn.XLOOKUP(INDIRECT("R[-3]C", 0), FE[Frequency], FE[Value])),ISNA(_xlfn.XLOOKUP(INDIRECT("R[-2]C", 0), DPH[Severity], DPH[Value])),ISNA(_xlfn.XLOOKUP(INDIRECT("R[-1]C", 0), NP[At Risk], NP[Value]))),"PENDING",PRODUCT(_xlfn.XLOOKUP(INDIRECT("R[-4]C", 0), LO[Likelihood], LO[Value]),_xlfn.XLOOKUP(INDIRECT("R[-3]C", 0), FE[Frequency], FE[Value]),_xlfn.XLOOKUP(INDIRECT("R[-2]C", 0), DPH[Severity], DPH[Value]),_xlfn.XLOOKUP(INDIRECT("R[-1]C", 0), NP[At Risk], NP[Value])))</f>
        <v>PENDING</v>
      </c>
      <c r="I185" s="39"/>
      <c r="J185" s="43"/>
      <c r="K185" s="44"/>
      <c r="L185" s="45"/>
      <c r="M185" s="22" t="s">
        <v>46</v>
      </c>
      <c r="N185" s="37" t="str">
        <f ca="1">IF(OR(ISNA(_xlfn.XLOOKUP(INDIRECT("R[-4]C", 0), LO[Likelihood], LO[Value])),ISNA(_xlfn.XLOOKUP(INDIRECT("R[-3]C", 0), FE[Frequency], FE[Value])),ISNA(_xlfn.XLOOKUP(INDIRECT("R[-2]C", 0), DPH[Severity], DPH[Value])),ISNA(_xlfn.XLOOKUP(INDIRECT("R[-1]C", 0), NP[At Risk], NP[Value]))),"PENDING",PRODUCT(_xlfn.XLOOKUP(INDIRECT("R[-4]C", 0), LO[Likelihood], LO[Value]),_xlfn.XLOOKUP(INDIRECT("R[-3]C", 0), FE[Frequency], FE[Value]),_xlfn.XLOOKUP(INDIRECT("R[-2]C", 0), DPH[Severity], DPH[Value]),_xlfn.XLOOKUP(INDIRECT("R[-1]C", 0), NP[At Risk], NP[Value])))</f>
        <v>PENDING</v>
      </c>
      <c r="O185" s="38"/>
    </row>
    <row r="186" spans="1:30" ht="9" customHeight="1" x14ac:dyDescent="0.3">
      <c r="A186" s="58">
        <v>33</v>
      </c>
      <c r="B186" s="40" t="s">
        <v>142</v>
      </c>
      <c r="C186" s="41"/>
      <c r="D186" s="42"/>
      <c r="E186" s="40" t="s">
        <v>154</v>
      </c>
      <c r="F186" s="42"/>
      <c r="G186" s="32" t="s">
        <v>42</v>
      </c>
      <c r="H186" s="17"/>
      <c r="I186" s="18"/>
      <c r="J186" s="40" t="s">
        <v>166</v>
      </c>
      <c r="K186" s="41"/>
      <c r="L186" s="42"/>
      <c r="M186" s="32" t="s">
        <v>42</v>
      </c>
      <c r="N186" s="17"/>
      <c r="O186" s="33"/>
      <c r="P186" s="20"/>
      <c r="Q186" s="20"/>
      <c r="R186" s="20"/>
      <c r="S186" s="20"/>
      <c r="T186" s="20"/>
      <c r="U186" s="20"/>
      <c r="V186" s="20"/>
      <c r="W186" s="20"/>
      <c r="X186" s="20"/>
      <c r="Y186" s="20"/>
      <c r="Z186" s="20"/>
      <c r="AA186" s="20"/>
      <c r="AB186" s="20"/>
      <c r="AC186" s="20"/>
      <c r="AD186" s="20"/>
    </row>
    <row r="187" spans="1:30" ht="9" customHeight="1" x14ac:dyDescent="0.3">
      <c r="A187" s="58"/>
      <c r="B187" s="40"/>
      <c r="C187" s="41"/>
      <c r="D187" s="42"/>
      <c r="E187" s="40"/>
      <c r="F187" s="42"/>
      <c r="G187" s="32" t="s">
        <v>33</v>
      </c>
      <c r="H187" s="19"/>
      <c r="I187" s="19"/>
      <c r="J187" s="40"/>
      <c r="K187" s="41"/>
      <c r="L187" s="42"/>
      <c r="M187" s="32" t="s">
        <v>33</v>
      </c>
      <c r="N187" s="19"/>
      <c r="O187" s="34"/>
      <c r="P187" s="20"/>
      <c r="Q187" s="20"/>
      <c r="R187" s="20"/>
      <c r="S187" s="20"/>
      <c r="T187" s="20"/>
      <c r="U187" s="20"/>
      <c r="V187" s="20"/>
      <c r="W187" s="20"/>
      <c r="X187" s="20"/>
      <c r="Y187" s="20"/>
      <c r="Z187" s="20"/>
      <c r="AA187" s="20"/>
      <c r="AB187" s="20"/>
      <c r="AC187" s="20"/>
      <c r="AD187" s="20"/>
    </row>
    <row r="188" spans="1:30" ht="9" customHeight="1" x14ac:dyDescent="0.3">
      <c r="A188" s="58"/>
      <c r="B188" s="40"/>
      <c r="C188" s="41"/>
      <c r="D188" s="42"/>
      <c r="E188" s="40"/>
      <c r="F188" s="42"/>
      <c r="G188" s="32" t="s">
        <v>34</v>
      </c>
      <c r="H188" s="19"/>
      <c r="I188" s="19"/>
      <c r="J188" s="40"/>
      <c r="K188" s="41"/>
      <c r="L188" s="42"/>
      <c r="M188" s="32" t="s">
        <v>34</v>
      </c>
      <c r="N188" s="19"/>
      <c r="O188" s="34"/>
      <c r="P188" s="20"/>
      <c r="Q188" s="20"/>
      <c r="R188" s="20"/>
      <c r="S188" s="20"/>
      <c r="T188" s="20"/>
      <c r="U188" s="20"/>
      <c r="V188" s="20"/>
      <c r="W188" s="20"/>
      <c r="X188" s="20"/>
      <c r="Y188" s="20"/>
      <c r="Z188" s="20"/>
      <c r="AA188" s="20"/>
      <c r="AB188" s="20"/>
      <c r="AC188" s="20"/>
      <c r="AD188" s="20"/>
    </row>
    <row r="189" spans="1:30" ht="9" customHeight="1" thickBot="1" x14ac:dyDescent="0.35">
      <c r="A189" s="58"/>
      <c r="B189" s="40"/>
      <c r="C189" s="41"/>
      <c r="D189" s="42"/>
      <c r="E189" s="40"/>
      <c r="F189" s="42"/>
      <c r="G189" s="32" t="s">
        <v>43</v>
      </c>
      <c r="H189" s="19"/>
      <c r="I189" s="19"/>
      <c r="J189" s="40"/>
      <c r="K189" s="41"/>
      <c r="L189" s="42"/>
      <c r="M189" s="32" t="s">
        <v>43</v>
      </c>
      <c r="N189" s="19"/>
      <c r="O189" s="34"/>
      <c r="P189" s="20"/>
      <c r="Q189" s="20"/>
      <c r="R189" s="20"/>
      <c r="S189" s="20"/>
      <c r="T189" s="20"/>
      <c r="U189" s="20"/>
      <c r="V189" s="20"/>
      <c r="W189" s="20"/>
      <c r="X189" s="20"/>
      <c r="Y189" s="20"/>
      <c r="Z189" s="20"/>
      <c r="AA189" s="20"/>
      <c r="AB189" s="20"/>
      <c r="AC189" s="20"/>
      <c r="AD189" s="20"/>
    </row>
    <row r="190" spans="1:30" ht="9" customHeight="1" thickBot="1" x14ac:dyDescent="0.35">
      <c r="A190" s="58"/>
      <c r="B190" s="43"/>
      <c r="C190" s="44"/>
      <c r="D190" s="45"/>
      <c r="E190" s="43"/>
      <c r="F190" s="45"/>
      <c r="G190" s="22" t="s">
        <v>46</v>
      </c>
      <c r="H190" s="37" t="str">
        <f ca="1">IF(OR(ISNA(_xlfn.XLOOKUP(INDIRECT("R[-4]C", 0), LO[Likelihood], LO[Value])),ISNA(_xlfn.XLOOKUP(INDIRECT("R[-3]C", 0), FE[Frequency], FE[Value])),ISNA(_xlfn.XLOOKUP(INDIRECT("R[-2]C", 0), DPH[Severity], DPH[Value])),ISNA(_xlfn.XLOOKUP(INDIRECT("R[-1]C", 0), NP[At Risk], NP[Value]))),"PENDING",PRODUCT(_xlfn.XLOOKUP(INDIRECT("R[-4]C", 0), LO[Likelihood], LO[Value]),_xlfn.XLOOKUP(INDIRECT("R[-3]C", 0), FE[Frequency], FE[Value]),_xlfn.XLOOKUP(INDIRECT("R[-2]C", 0), DPH[Severity], DPH[Value]),_xlfn.XLOOKUP(INDIRECT("R[-1]C", 0), NP[At Risk], NP[Value])))</f>
        <v>PENDING</v>
      </c>
      <c r="I190" s="39"/>
      <c r="J190" s="43"/>
      <c r="K190" s="44"/>
      <c r="L190" s="45"/>
      <c r="M190" s="22" t="s">
        <v>46</v>
      </c>
      <c r="N190" s="37" t="str">
        <f ca="1">IF(OR(ISNA(_xlfn.XLOOKUP(INDIRECT("R[-4]C", 0), LO[Likelihood], LO[Value])),ISNA(_xlfn.XLOOKUP(INDIRECT("R[-3]C", 0), FE[Frequency], FE[Value])),ISNA(_xlfn.XLOOKUP(INDIRECT("R[-2]C", 0), DPH[Severity], DPH[Value])),ISNA(_xlfn.XLOOKUP(INDIRECT("R[-1]C", 0), NP[At Risk], NP[Value]))),"PENDING",PRODUCT(_xlfn.XLOOKUP(INDIRECT("R[-4]C", 0), LO[Likelihood], LO[Value]),_xlfn.XLOOKUP(INDIRECT("R[-3]C", 0), FE[Frequency], FE[Value]),_xlfn.XLOOKUP(INDIRECT("R[-2]C", 0), DPH[Severity], DPH[Value]),_xlfn.XLOOKUP(INDIRECT("R[-1]C", 0), NP[At Risk], NP[Value])))</f>
        <v>PENDING</v>
      </c>
      <c r="O190" s="38"/>
      <c r="P190" s="20"/>
      <c r="Q190" s="20"/>
      <c r="R190" s="20"/>
      <c r="S190" s="20"/>
      <c r="T190" s="20"/>
      <c r="U190" s="20"/>
      <c r="V190" s="20"/>
      <c r="W190" s="20"/>
      <c r="X190" s="20"/>
      <c r="Y190" s="20"/>
      <c r="Z190" s="20"/>
      <c r="AA190" s="20"/>
      <c r="AB190" s="20"/>
      <c r="AC190" s="20"/>
      <c r="AD190" s="20"/>
    </row>
    <row r="191" spans="1:30" ht="9" customHeight="1" x14ac:dyDescent="0.3">
      <c r="A191" s="58">
        <v>34</v>
      </c>
      <c r="B191" s="46" t="s">
        <v>143</v>
      </c>
      <c r="C191" s="47"/>
      <c r="D191" s="48"/>
      <c r="E191" s="40" t="s">
        <v>155</v>
      </c>
      <c r="F191" s="42"/>
      <c r="G191" s="32" t="s">
        <v>42</v>
      </c>
      <c r="H191" s="17"/>
      <c r="I191" s="18"/>
      <c r="J191" s="40" t="s">
        <v>167</v>
      </c>
      <c r="K191" s="41"/>
      <c r="L191" s="42"/>
      <c r="M191" s="32" t="s">
        <v>42</v>
      </c>
      <c r="N191" s="17"/>
      <c r="O191" s="33"/>
      <c r="P191" s="20"/>
      <c r="Q191" s="20"/>
      <c r="R191" s="20"/>
      <c r="S191" s="20"/>
      <c r="T191" s="20"/>
      <c r="U191" s="20"/>
      <c r="V191" s="20"/>
      <c r="W191" s="20"/>
      <c r="X191" s="20"/>
      <c r="Y191" s="20"/>
      <c r="Z191" s="20"/>
      <c r="AA191" s="20"/>
      <c r="AB191" s="20"/>
      <c r="AC191" s="20"/>
      <c r="AD191" s="20"/>
    </row>
    <row r="192" spans="1:30" ht="9" customHeight="1" x14ac:dyDescent="0.3">
      <c r="A192" s="58"/>
      <c r="B192" s="40"/>
      <c r="C192" s="41"/>
      <c r="D192" s="42"/>
      <c r="E192" s="40"/>
      <c r="F192" s="42"/>
      <c r="G192" s="32" t="s">
        <v>33</v>
      </c>
      <c r="H192" s="19"/>
      <c r="I192" s="19"/>
      <c r="J192" s="40"/>
      <c r="K192" s="41"/>
      <c r="L192" s="42"/>
      <c r="M192" s="32" t="s">
        <v>33</v>
      </c>
      <c r="N192" s="19"/>
      <c r="O192" s="34"/>
      <c r="P192" s="20"/>
      <c r="Q192" s="20"/>
      <c r="R192" s="20"/>
      <c r="S192" s="20"/>
      <c r="T192" s="20"/>
      <c r="U192" s="20"/>
      <c r="V192" s="20"/>
      <c r="W192" s="20"/>
      <c r="X192" s="20"/>
      <c r="Y192" s="20"/>
      <c r="Z192" s="20"/>
      <c r="AA192" s="20"/>
      <c r="AB192" s="20"/>
      <c r="AC192" s="20"/>
      <c r="AD192" s="20"/>
    </row>
    <row r="193" spans="1:30" ht="9" customHeight="1" x14ac:dyDescent="0.3">
      <c r="A193" s="58"/>
      <c r="B193" s="40"/>
      <c r="C193" s="41"/>
      <c r="D193" s="42"/>
      <c r="E193" s="40"/>
      <c r="F193" s="42"/>
      <c r="G193" s="32" t="s">
        <v>34</v>
      </c>
      <c r="H193" s="19"/>
      <c r="I193" s="19"/>
      <c r="J193" s="40"/>
      <c r="K193" s="41"/>
      <c r="L193" s="42"/>
      <c r="M193" s="32" t="s">
        <v>34</v>
      </c>
      <c r="N193" s="19"/>
      <c r="O193" s="34"/>
      <c r="P193" s="20"/>
      <c r="Q193" s="20"/>
      <c r="R193" s="20"/>
      <c r="S193" s="20"/>
      <c r="T193" s="20"/>
      <c r="U193" s="20"/>
      <c r="V193" s="20"/>
      <c r="W193" s="20"/>
      <c r="X193" s="20"/>
      <c r="Y193" s="20"/>
      <c r="Z193" s="20"/>
      <c r="AA193" s="20"/>
      <c r="AB193" s="20"/>
      <c r="AC193" s="20"/>
      <c r="AD193" s="20"/>
    </row>
    <row r="194" spans="1:30" ht="9" customHeight="1" thickBot="1" x14ac:dyDescent="0.35">
      <c r="A194" s="58"/>
      <c r="B194" s="40"/>
      <c r="C194" s="41"/>
      <c r="D194" s="42"/>
      <c r="E194" s="40"/>
      <c r="F194" s="42"/>
      <c r="G194" s="32" t="s">
        <v>43</v>
      </c>
      <c r="H194" s="19"/>
      <c r="I194" s="19"/>
      <c r="J194" s="40"/>
      <c r="K194" s="41"/>
      <c r="L194" s="42"/>
      <c r="M194" s="32" t="s">
        <v>43</v>
      </c>
      <c r="N194" s="19"/>
      <c r="O194" s="34"/>
      <c r="P194" s="20"/>
      <c r="Q194" s="20"/>
      <c r="R194" s="20"/>
      <c r="S194" s="20"/>
      <c r="T194" s="20"/>
      <c r="U194" s="20"/>
      <c r="V194" s="20"/>
      <c r="W194" s="20"/>
      <c r="X194" s="20"/>
      <c r="Y194" s="20"/>
      <c r="Z194" s="20"/>
      <c r="AA194" s="20"/>
      <c r="AB194" s="20"/>
      <c r="AC194" s="20"/>
      <c r="AD194" s="20"/>
    </row>
    <row r="195" spans="1:30" ht="9" customHeight="1" thickBot="1" x14ac:dyDescent="0.35">
      <c r="A195" s="58"/>
      <c r="B195" s="43"/>
      <c r="C195" s="44"/>
      <c r="D195" s="45"/>
      <c r="E195" s="43"/>
      <c r="F195" s="45"/>
      <c r="G195" s="22" t="s">
        <v>46</v>
      </c>
      <c r="H195" s="37" t="str">
        <f ca="1">IF(OR(ISNA(_xlfn.XLOOKUP(INDIRECT("R[-4]C", 0), LO[Likelihood], LO[Value])),ISNA(_xlfn.XLOOKUP(INDIRECT("R[-3]C", 0), FE[Frequency], FE[Value])),ISNA(_xlfn.XLOOKUP(INDIRECT("R[-2]C", 0), DPH[Severity], DPH[Value])),ISNA(_xlfn.XLOOKUP(INDIRECT("R[-1]C", 0), NP[At Risk], NP[Value]))),"PENDING",PRODUCT(_xlfn.XLOOKUP(INDIRECT("R[-4]C", 0), LO[Likelihood], LO[Value]),_xlfn.XLOOKUP(INDIRECT("R[-3]C", 0), FE[Frequency], FE[Value]),_xlfn.XLOOKUP(INDIRECT("R[-2]C", 0), DPH[Severity], DPH[Value]),_xlfn.XLOOKUP(INDIRECT("R[-1]C", 0), NP[At Risk], NP[Value])))</f>
        <v>PENDING</v>
      </c>
      <c r="I195" s="39"/>
      <c r="J195" s="43"/>
      <c r="K195" s="44"/>
      <c r="L195" s="45"/>
      <c r="M195" s="22" t="s">
        <v>46</v>
      </c>
      <c r="N195" s="37" t="str">
        <f ca="1">IF(OR(ISNA(_xlfn.XLOOKUP(INDIRECT("R[-4]C", 0), LO[Likelihood], LO[Value])),ISNA(_xlfn.XLOOKUP(INDIRECT("R[-3]C", 0), FE[Frequency], FE[Value])),ISNA(_xlfn.XLOOKUP(INDIRECT("R[-2]C", 0), DPH[Severity], DPH[Value])),ISNA(_xlfn.XLOOKUP(INDIRECT("R[-1]C", 0), NP[At Risk], NP[Value]))),"PENDING",PRODUCT(_xlfn.XLOOKUP(INDIRECT("R[-4]C", 0), LO[Likelihood], LO[Value]),_xlfn.XLOOKUP(INDIRECT("R[-3]C", 0), FE[Frequency], FE[Value]),_xlfn.XLOOKUP(INDIRECT("R[-2]C", 0), DPH[Severity], DPH[Value]),_xlfn.XLOOKUP(INDIRECT("R[-1]C", 0), NP[At Risk], NP[Value])))</f>
        <v>PENDING</v>
      </c>
      <c r="O195" s="38"/>
      <c r="P195" s="20"/>
      <c r="Q195" s="20"/>
      <c r="R195" s="20"/>
      <c r="S195" s="20"/>
      <c r="T195" s="20"/>
      <c r="U195" s="20"/>
      <c r="V195" s="20"/>
      <c r="W195" s="20"/>
      <c r="X195" s="20"/>
      <c r="Y195" s="20"/>
      <c r="Z195" s="20"/>
      <c r="AA195" s="20"/>
      <c r="AB195" s="20"/>
      <c r="AC195" s="20"/>
      <c r="AD195" s="20"/>
    </row>
    <row r="196" spans="1:30" ht="9" customHeight="1" x14ac:dyDescent="0.3">
      <c r="A196" s="58">
        <v>35</v>
      </c>
      <c r="B196" s="40" t="s">
        <v>144</v>
      </c>
      <c r="C196" s="41"/>
      <c r="D196" s="42"/>
      <c r="E196" s="40" t="s">
        <v>156</v>
      </c>
      <c r="F196" s="42"/>
      <c r="G196" s="32" t="s">
        <v>42</v>
      </c>
      <c r="H196" s="17"/>
      <c r="I196" s="18"/>
      <c r="J196" s="40" t="s">
        <v>168</v>
      </c>
      <c r="K196" s="41"/>
      <c r="L196" s="42"/>
      <c r="M196" s="32" t="s">
        <v>42</v>
      </c>
      <c r="N196" s="17"/>
      <c r="O196" s="33"/>
      <c r="P196" s="20"/>
      <c r="Q196" s="20"/>
      <c r="R196" s="20"/>
      <c r="S196" s="20"/>
      <c r="T196" s="20"/>
      <c r="U196" s="20"/>
      <c r="V196" s="20"/>
      <c r="W196" s="20"/>
      <c r="X196" s="20"/>
      <c r="Y196" s="20"/>
      <c r="Z196" s="20"/>
      <c r="AA196" s="20"/>
      <c r="AB196" s="20"/>
      <c r="AC196" s="20"/>
      <c r="AD196" s="20"/>
    </row>
    <row r="197" spans="1:30" ht="9" customHeight="1" x14ac:dyDescent="0.3">
      <c r="A197" s="58"/>
      <c r="B197" s="40"/>
      <c r="C197" s="41"/>
      <c r="D197" s="42"/>
      <c r="E197" s="40"/>
      <c r="F197" s="42"/>
      <c r="G197" s="32" t="s">
        <v>33</v>
      </c>
      <c r="H197" s="19"/>
      <c r="I197" s="19"/>
      <c r="J197" s="40"/>
      <c r="K197" s="41"/>
      <c r="L197" s="42"/>
      <c r="M197" s="32" t="s">
        <v>33</v>
      </c>
      <c r="N197" s="19"/>
      <c r="O197" s="34"/>
      <c r="P197" s="20"/>
      <c r="Q197" s="20"/>
      <c r="R197" s="20"/>
      <c r="S197" s="20"/>
      <c r="T197" s="20"/>
      <c r="U197" s="20"/>
      <c r="V197" s="20"/>
      <c r="W197" s="20"/>
      <c r="X197" s="20"/>
      <c r="Y197" s="20"/>
      <c r="Z197" s="20"/>
      <c r="AA197" s="20"/>
      <c r="AB197" s="20"/>
      <c r="AC197" s="20"/>
      <c r="AD197" s="20"/>
    </row>
    <row r="198" spans="1:30" ht="9" customHeight="1" x14ac:dyDescent="0.3">
      <c r="A198" s="58"/>
      <c r="B198" s="40"/>
      <c r="C198" s="41"/>
      <c r="D198" s="42"/>
      <c r="E198" s="40"/>
      <c r="F198" s="42"/>
      <c r="G198" s="32" t="s">
        <v>34</v>
      </c>
      <c r="H198" s="19"/>
      <c r="I198" s="19"/>
      <c r="J198" s="40"/>
      <c r="K198" s="41"/>
      <c r="L198" s="42"/>
      <c r="M198" s="32" t="s">
        <v>34</v>
      </c>
      <c r="N198" s="19"/>
      <c r="O198" s="34"/>
      <c r="P198" s="20"/>
      <c r="Q198" s="20"/>
      <c r="R198" s="20"/>
      <c r="S198" s="20"/>
      <c r="T198" s="20"/>
      <c r="U198" s="20"/>
      <c r="V198" s="20"/>
      <c r="W198" s="20"/>
      <c r="X198" s="20"/>
      <c r="Y198" s="20"/>
      <c r="Z198" s="20"/>
      <c r="AA198" s="20"/>
      <c r="AB198" s="20"/>
      <c r="AC198" s="20"/>
      <c r="AD198" s="20"/>
    </row>
    <row r="199" spans="1:30" ht="9" customHeight="1" thickBot="1" x14ac:dyDescent="0.35">
      <c r="A199" s="58"/>
      <c r="B199" s="40"/>
      <c r="C199" s="41"/>
      <c r="D199" s="42"/>
      <c r="E199" s="40"/>
      <c r="F199" s="42"/>
      <c r="G199" s="32" t="s">
        <v>43</v>
      </c>
      <c r="H199" s="19"/>
      <c r="I199" s="19"/>
      <c r="J199" s="40"/>
      <c r="K199" s="41"/>
      <c r="L199" s="42"/>
      <c r="M199" s="32" t="s">
        <v>43</v>
      </c>
      <c r="N199" s="19"/>
      <c r="O199" s="34"/>
      <c r="P199" s="20"/>
      <c r="Q199" s="20"/>
      <c r="R199" s="20"/>
      <c r="S199" s="20"/>
      <c r="T199" s="20"/>
      <c r="U199" s="20"/>
      <c r="V199" s="20"/>
      <c r="W199" s="20"/>
      <c r="X199" s="20"/>
      <c r="Y199" s="20"/>
      <c r="Z199" s="20"/>
      <c r="AA199" s="20"/>
      <c r="AB199" s="20"/>
      <c r="AC199" s="20"/>
      <c r="AD199" s="20"/>
    </row>
    <row r="200" spans="1:30" ht="9" customHeight="1" thickBot="1" x14ac:dyDescent="0.35">
      <c r="A200" s="58"/>
      <c r="B200" s="43"/>
      <c r="C200" s="44"/>
      <c r="D200" s="45"/>
      <c r="E200" s="43"/>
      <c r="F200" s="45"/>
      <c r="G200" s="22" t="s">
        <v>46</v>
      </c>
      <c r="H200" s="37" t="str">
        <f ca="1">IF(OR(ISNA(_xlfn.XLOOKUP(INDIRECT("R[-4]C", 0), LO[Likelihood], LO[Value])),ISNA(_xlfn.XLOOKUP(INDIRECT("R[-3]C", 0), FE[Frequency], FE[Value])),ISNA(_xlfn.XLOOKUP(INDIRECT("R[-2]C", 0), DPH[Severity], DPH[Value])),ISNA(_xlfn.XLOOKUP(INDIRECT("R[-1]C", 0), NP[At Risk], NP[Value]))),"PENDING",PRODUCT(_xlfn.XLOOKUP(INDIRECT("R[-4]C", 0), LO[Likelihood], LO[Value]),_xlfn.XLOOKUP(INDIRECT("R[-3]C", 0), FE[Frequency], FE[Value]),_xlfn.XLOOKUP(INDIRECT("R[-2]C", 0), DPH[Severity], DPH[Value]),_xlfn.XLOOKUP(INDIRECT("R[-1]C", 0), NP[At Risk], NP[Value])))</f>
        <v>PENDING</v>
      </c>
      <c r="I200" s="39"/>
      <c r="J200" s="43"/>
      <c r="K200" s="44"/>
      <c r="L200" s="45"/>
      <c r="M200" s="22" t="s">
        <v>46</v>
      </c>
      <c r="N200" s="37" t="str">
        <f ca="1">IF(OR(ISNA(_xlfn.XLOOKUP(INDIRECT("R[-4]C", 0), LO[Likelihood], LO[Value])),ISNA(_xlfn.XLOOKUP(INDIRECT("R[-3]C", 0), FE[Frequency], FE[Value])),ISNA(_xlfn.XLOOKUP(INDIRECT("R[-2]C", 0), DPH[Severity], DPH[Value])),ISNA(_xlfn.XLOOKUP(INDIRECT("R[-1]C", 0), NP[At Risk], NP[Value]))),"PENDING",PRODUCT(_xlfn.XLOOKUP(INDIRECT("R[-4]C", 0), LO[Likelihood], LO[Value]),_xlfn.XLOOKUP(INDIRECT("R[-3]C", 0), FE[Frequency], FE[Value]),_xlfn.XLOOKUP(INDIRECT("R[-2]C", 0), DPH[Severity], DPH[Value]),_xlfn.XLOOKUP(INDIRECT("R[-1]C", 0), NP[At Risk], NP[Value])))</f>
        <v>PENDING</v>
      </c>
      <c r="O200" s="38"/>
      <c r="P200" s="20"/>
      <c r="Q200" s="20"/>
      <c r="R200" s="20"/>
      <c r="S200" s="20"/>
      <c r="T200" s="20"/>
      <c r="U200" s="20"/>
      <c r="V200" s="20"/>
      <c r="W200" s="20"/>
      <c r="X200" s="20"/>
      <c r="Y200" s="20"/>
      <c r="Z200" s="20"/>
      <c r="AA200" s="20"/>
      <c r="AB200" s="20"/>
      <c r="AC200" s="20"/>
      <c r="AD200" s="20"/>
    </row>
    <row r="201" spans="1:30" ht="9" customHeight="1" x14ac:dyDescent="0.3">
      <c r="A201" s="58">
        <v>36</v>
      </c>
      <c r="B201" s="46" t="s">
        <v>145</v>
      </c>
      <c r="C201" s="47"/>
      <c r="D201" s="48"/>
      <c r="E201" s="40" t="s">
        <v>157</v>
      </c>
      <c r="F201" s="42"/>
      <c r="G201" s="32" t="s">
        <v>42</v>
      </c>
      <c r="H201" s="17"/>
      <c r="I201" s="18"/>
      <c r="J201" s="40" t="s">
        <v>169</v>
      </c>
      <c r="K201" s="41"/>
      <c r="L201" s="42"/>
      <c r="M201" s="32" t="s">
        <v>42</v>
      </c>
      <c r="N201" s="17"/>
      <c r="O201" s="33"/>
      <c r="P201" s="20"/>
      <c r="Q201" s="20"/>
      <c r="R201" s="20"/>
      <c r="S201" s="20"/>
      <c r="T201" s="20"/>
      <c r="U201" s="20"/>
      <c r="V201" s="20"/>
      <c r="W201" s="20"/>
      <c r="X201" s="20"/>
      <c r="Y201" s="20"/>
      <c r="Z201" s="20"/>
      <c r="AA201" s="20"/>
      <c r="AB201" s="20"/>
      <c r="AC201" s="20"/>
      <c r="AD201" s="20"/>
    </row>
    <row r="202" spans="1:30" ht="9" customHeight="1" x14ac:dyDescent="0.3">
      <c r="A202" s="58"/>
      <c r="B202" s="40"/>
      <c r="C202" s="41"/>
      <c r="D202" s="42"/>
      <c r="E202" s="40"/>
      <c r="F202" s="42"/>
      <c r="G202" s="32" t="s">
        <v>33</v>
      </c>
      <c r="H202" s="19"/>
      <c r="I202" s="19"/>
      <c r="J202" s="40"/>
      <c r="K202" s="41"/>
      <c r="L202" s="42"/>
      <c r="M202" s="32" t="s">
        <v>33</v>
      </c>
      <c r="N202" s="19"/>
      <c r="O202" s="34"/>
      <c r="P202" s="20"/>
      <c r="Q202" s="20"/>
      <c r="R202" s="20"/>
      <c r="S202" s="20"/>
      <c r="T202" s="20"/>
      <c r="U202" s="20"/>
      <c r="V202" s="20"/>
      <c r="W202" s="20"/>
      <c r="X202" s="20"/>
      <c r="Y202" s="20"/>
      <c r="Z202" s="20"/>
      <c r="AA202" s="20"/>
      <c r="AB202" s="20"/>
      <c r="AC202" s="20"/>
      <c r="AD202" s="20"/>
    </row>
    <row r="203" spans="1:30" ht="9" customHeight="1" x14ac:dyDescent="0.3">
      <c r="A203" s="58"/>
      <c r="B203" s="40"/>
      <c r="C203" s="41"/>
      <c r="D203" s="42"/>
      <c r="E203" s="40"/>
      <c r="F203" s="42"/>
      <c r="G203" s="32" t="s">
        <v>34</v>
      </c>
      <c r="H203" s="19"/>
      <c r="I203" s="19"/>
      <c r="J203" s="40"/>
      <c r="K203" s="41"/>
      <c r="L203" s="42"/>
      <c r="M203" s="32" t="s">
        <v>34</v>
      </c>
      <c r="N203" s="19"/>
      <c r="O203" s="34"/>
      <c r="P203" s="20"/>
      <c r="Q203" s="20"/>
      <c r="R203" s="20"/>
      <c r="S203" s="20"/>
      <c r="T203" s="20"/>
      <c r="U203" s="20"/>
      <c r="V203" s="20"/>
      <c r="W203" s="20"/>
      <c r="X203" s="20"/>
      <c r="Y203" s="20"/>
      <c r="Z203" s="20"/>
      <c r="AA203" s="20"/>
      <c r="AB203" s="20"/>
      <c r="AC203" s="20"/>
      <c r="AD203" s="20"/>
    </row>
    <row r="204" spans="1:30" ht="9" customHeight="1" thickBot="1" x14ac:dyDescent="0.35">
      <c r="A204" s="58"/>
      <c r="B204" s="40"/>
      <c r="C204" s="41"/>
      <c r="D204" s="42"/>
      <c r="E204" s="40"/>
      <c r="F204" s="42"/>
      <c r="G204" s="32" t="s">
        <v>43</v>
      </c>
      <c r="H204" s="19"/>
      <c r="I204" s="19"/>
      <c r="J204" s="40"/>
      <c r="K204" s="41"/>
      <c r="L204" s="42"/>
      <c r="M204" s="32" t="s">
        <v>43</v>
      </c>
      <c r="N204" s="19"/>
      <c r="O204" s="34"/>
      <c r="P204" s="20"/>
      <c r="Q204" s="20"/>
      <c r="R204" s="20"/>
      <c r="S204" s="20"/>
      <c r="T204" s="20"/>
      <c r="U204" s="20"/>
      <c r="V204" s="20"/>
      <c r="W204" s="20"/>
      <c r="X204" s="20"/>
      <c r="Y204" s="20"/>
      <c r="Z204" s="20"/>
      <c r="AA204" s="20"/>
      <c r="AB204" s="20"/>
      <c r="AC204" s="20"/>
      <c r="AD204" s="20"/>
    </row>
    <row r="205" spans="1:30" ht="9" customHeight="1" thickBot="1" x14ac:dyDescent="0.35">
      <c r="A205" s="58"/>
      <c r="B205" s="43"/>
      <c r="C205" s="44"/>
      <c r="D205" s="45"/>
      <c r="E205" s="43"/>
      <c r="F205" s="45"/>
      <c r="G205" s="22" t="s">
        <v>46</v>
      </c>
      <c r="H205" s="37" t="str">
        <f ca="1">IF(OR(ISNA(_xlfn.XLOOKUP(INDIRECT("R[-4]C", 0), LO[Likelihood], LO[Value])),ISNA(_xlfn.XLOOKUP(INDIRECT("R[-3]C", 0), FE[Frequency], FE[Value])),ISNA(_xlfn.XLOOKUP(INDIRECT("R[-2]C", 0), DPH[Severity], DPH[Value])),ISNA(_xlfn.XLOOKUP(INDIRECT("R[-1]C", 0), NP[At Risk], NP[Value]))),"PENDING",PRODUCT(_xlfn.XLOOKUP(INDIRECT("R[-4]C", 0), LO[Likelihood], LO[Value]),_xlfn.XLOOKUP(INDIRECT("R[-3]C", 0), FE[Frequency], FE[Value]),_xlfn.XLOOKUP(INDIRECT("R[-2]C", 0), DPH[Severity], DPH[Value]),_xlfn.XLOOKUP(INDIRECT("R[-1]C", 0), NP[At Risk], NP[Value])))</f>
        <v>PENDING</v>
      </c>
      <c r="I205" s="39"/>
      <c r="J205" s="43"/>
      <c r="K205" s="44"/>
      <c r="L205" s="45"/>
      <c r="M205" s="22" t="s">
        <v>46</v>
      </c>
      <c r="N205" s="37" t="str">
        <f ca="1">IF(OR(ISNA(_xlfn.XLOOKUP(INDIRECT("R[-4]C", 0), LO[Likelihood], LO[Value])),ISNA(_xlfn.XLOOKUP(INDIRECT("R[-3]C", 0), FE[Frequency], FE[Value])),ISNA(_xlfn.XLOOKUP(INDIRECT("R[-2]C", 0), DPH[Severity], DPH[Value])),ISNA(_xlfn.XLOOKUP(INDIRECT("R[-1]C", 0), NP[At Risk], NP[Value]))),"PENDING",PRODUCT(_xlfn.XLOOKUP(INDIRECT("R[-4]C", 0), LO[Likelihood], LO[Value]),_xlfn.XLOOKUP(INDIRECT("R[-3]C", 0), FE[Frequency], FE[Value]),_xlfn.XLOOKUP(INDIRECT("R[-2]C", 0), DPH[Severity], DPH[Value]),_xlfn.XLOOKUP(INDIRECT("R[-1]C", 0), NP[At Risk], NP[Value])))</f>
        <v>PENDING</v>
      </c>
      <c r="O205" s="38"/>
      <c r="P205" s="20"/>
      <c r="Q205" s="20"/>
      <c r="R205" s="20"/>
      <c r="S205" s="20"/>
      <c r="T205" s="20"/>
      <c r="U205" s="20"/>
      <c r="V205" s="20"/>
      <c r="W205" s="20"/>
      <c r="X205" s="20"/>
      <c r="Y205" s="20"/>
      <c r="Z205" s="20"/>
      <c r="AA205" s="20"/>
      <c r="AB205" s="20"/>
      <c r="AC205" s="20"/>
      <c r="AD205" s="20"/>
    </row>
    <row r="206" spans="1:30" ht="9" customHeight="1" x14ac:dyDescent="0.3">
      <c r="B206" s="31"/>
      <c r="C206" s="31"/>
      <c r="D206" s="31"/>
      <c r="E206" s="31"/>
      <c r="F206" s="31"/>
      <c r="G206" s="31"/>
      <c r="H206" s="31"/>
      <c r="I206" s="31"/>
      <c r="J206" s="31"/>
      <c r="K206" s="31"/>
      <c r="L206" s="31"/>
      <c r="M206" s="31"/>
      <c r="N206" s="31"/>
      <c r="O206" s="31"/>
      <c r="P206" s="20"/>
      <c r="Q206" s="20"/>
      <c r="R206" s="20"/>
      <c r="S206" s="20"/>
      <c r="T206" s="20"/>
      <c r="U206" s="20"/>
      <c r="V206" s="20"/>
      <c r="W206" s="20"/>
      <c r="X206" s="20"/>
      <c r="Y206" s="20"/>
      <c r="Z206" s="20"/>
      <c r="AA206" s="20"/>
      <c r="AB206" s="20"/>
      <c r="AC206" s="20"/>
      <c r="AD206" s="20"/>
    </row>
    <row r="207" spans="1:30" ht="9" customHeight="1" x14ac:dyDescent="0.3">
      <c r="A207" s="59" t="s">
        <v>61</v>
      </c>
      <c r="B207" s="59"/>
      <c r="C207" s="59"/>
      <c r="D207" s="59"/>
      <c r="E207" s="59"/>
      <c r="F207" s="59"/>
      <c r="G207" s="59"/>
      <c r="H207" s="59"/>
      <c r="I207" s="30"/>
      <c r="J207" s="30"/>
      <c r="K207" s="70" t="s">
        <v>53</v>
      </c>
      <c r="L207" s="70"/>
      <c r="M207" s="70"/>
      <c r="N207" s="70"/>
      <c r="O207" s="70"/>
      <c r="P207" s="70"/>
      <c r="Q207" s="20"/>
      <c r="R207" s="20"/>
      <c r="S207" s="20"/>
      <c r="T207" s="20"/>
      <c r="U207" s="20"/>
      <c r="V207" s="20"/>
      <c r="W207" s="20"/>
      <c r="X207" s="20"/>
      <c r="Y207" s="20"/>
      <c r="Z207" s="20"/>
      <c r="AA207" s="20"/>
      <c r="AB207" s="20"/>
      <c r="AC207" s="20"/>
      <c r="AD207" s="20"/>
    </row>
    <row r="208" spans="1:30" ht="9" customHeight="1" x14ac:dyDescent="0.3">
      <c r="B208" s="60" t="s">
        <v>171</v>
      </c>
      <c r="C208" s="60"/>
      <c r="D208" s="60"/>
      <c r="E208" s="60"/>
      <c r="F208" s="60"/>
      <c r="G208" s="60"/>
      <c r="H208" s="60"/>
      <c r="I208" s="30"/>
      <c r="J208" s="30"/>
      <c r="K208" s="70"/>
      <c r="L208" s="70"/>
      <c r="M208" s="70"/>
      <c r="N208" s="70"/>
      <c r="O208" s="70"/>
      <c r="P208" s="70"/>
      <c r="Q208" s="20"/>
      <c r="R208" s="20"/>
      <c r="S208" s="20"/>
      <c r="T208" s="20"/>
      <c r="U208" s="20"/>
      <c r="V208" s="20"/>
      <c r="W208" s="20"/>
      <c r="X208" s="20"/>
      <c r="Y208" s="20"/>
      <c r="Z208" s="20"/>
      <c r="AA208" s="20"/>
      <c r="AB208" s="20"/>
      <c r="AC208" s="20"/>
      <c r="AD208" s="20"/>
    </row>
    <row r="209" spans="2:16" ht="9" customHeight="1" x14ac:dyDescent="0.3">
      <c r="B209" s="60"/>
      <c r="C209" s="60"/>
      <c r="D209" s="60"/>
      <c r="E209" s="60"/>
      <c r="F209" s="60"/>
      <c r="G209" s="60"/>
      <c r="H209" s="60"/>
      <c r="I209" s="27"/>
      <c r="K209" s="70"/>
      <c r="L209" s="70"/>
      <c r="M209" s="70"/>
      <c r="N209" s="70"/>
      <c r="O209" s="70"/>
      <c r="P209" s="70"/>
    </row>
    <row r="210" spans="2:16" ht="9" customHeight="1" x14ac:dyDescent="0.3">
      <c r="B210" s="60"/>
      <c r="C210" s="60"/>
      <c r="D210" s="60"/>
      <c r="E210" s="60"/>
      <c r="F210" s="60"/>
      <c r="G210" s="60"/>
      <c r="H210" s="60"/>
      <c r="I210" s="27"/>
      <c r="K210" s="69"/>
      <c r="L210" s="69"/>
      <c r="M210" s="69"/>
      <c r="N210" s="69"/>
      <c r="O210" s="69"/>
      <c r="P210" s="69"/>
    </row>
    <row r="211" spans="2:16" ht="9" customHeight="1" x14ac:dyDescent="0.3">
      <c r="B211" s="60"/>
      <c r="C211" s="60"/>
      <c r="D211" s="60"/>
      <c r="E211" s="60"/>
      <c r="F211" s="60"/>
      <c r="G211" s="60"/>
      <c r="H211" s="60"/>
      <c r="I211" s="27"/>
      <c r="K211" s="69"/>
      <c r="L211" s="69"/>
      <c r="M211" s="69"/>
      <c r="N211" s="69"/>
      <c r="O211" s="69"/>
      <c r="P211" s="69"/>
    </row>
    <row r="212" spans="2:16" ht="9" customHeight="1" x14ac:dyDescent="0.3">
      <c r="B212" s="60"/>
      <c r="C212" s="60"/>
      <c r="D212" s="60"/>
      <c r="E212" s="60"/>
      <c r="F212" s="60"/>
      <c r="G212" s="60"/>
      <c r="H212" s="60"/>
      <c r="I212" s="27"/>
      <c r="K212" s="69"/>
      <c r="L212" s="69"/>
      <c r="M212" s="69"/>
      <c r="N212" s="69"/>
      <c r="O212" s="69"/>
      <c r="P212" s="69"/>
    </row>
    <row r="213" spans="2:16" ht="9" customHeight="1" x14ac:dyDescent="0.3">
      <c r="G213" s="27"/>
      <c r="H213" s="27"/>
      <c r="I213" s="27"/>
      <c r="K213" s="69"/>
      <c r="L213" s="69"/>
      <c r="M213" s="69"/>
      <c r="N213" s="69"/>
      <c r="O213" s="69"/>
      <c r="P213" s="69"/>
    </row>
    <row r="214" spans="2:16" ht="9" customHeight="1" x14ac:dyDescent="0.3">
      <c r="G214" s="27"/>
      <c r="H214" s="27"/>
      <c r="I214" s="27"/>
      <c r="M214" s="27"/>
      <c r="N214" s="27"/>
      <c r="O214" s="27"/>
      <c r="P214" s="27"/>
    </row>
    <row r="215" spans="2:16" ht="9" customHeight="1" x14ac:dyDescent="0.3">
      <c r="G215" s="27"/>
      <c r="H215" s="27"/>
      <c r="I215" s="27"/>
      <c r="M215" s="27"/>
      <c r="N215" s="27"/>
      <c r="O215" s="27"/>
      <c r="P215" s="27"/>
    </row>
    <row r="216" spans="2:16" ht="9" customHeight="1" x14ac:dyDescent="0.3">
      <c r="G216" s="27"/>
      <c r="H216" s="27"/>
      <c r="I216" s="27"/>
      <c r="M216" s="27"/>
      <c r="N216" s="27"/>
      <c r="O216" s="27"/>
      <c r="P216" s="27"/>
    </row>
    <row r="217" spans="2:16" ht="9" customHeight="1" x14ac:dyDescent="0.3">
      <c r="G217" s="27"/>
      <c r="H217" s="27"/>
      <c r="I217" s="27"/>
      <c r="M217" s="27"/>
      <c r="N217" s="27"/>
      <c r="O217" s="27"/>
      <c r="P217" s="27"/>
    </row>
    <row r="218" spans="2:16" ht="9" customHeight="1" x14ac:dyDescent="0.3">
      <c r="G218" s="27"/>
      <c r="H218" s="27"/>
      <c r="I218" s="27"/>
      <c r="M218" s="27"/>
      <c r="N218" s="27"/>
      <c r="O218" s="27"/>
      <c r="P218" s="27"/>
    </row>
    <row r="219" spans="2:16" ht="9" customHeight="1" x14ac:dyDescent="0.3">
      <c r="G219" s="27"/>
      <c r="H219" s="27"/>
      <c r="I219" s="27"/>
      <c r="M219" s="27"/>
      <c r="N219" s="27"/>
      <c r="O219" s="27"/>
      <c r="P219" s="27"/>
    </row>
    <row r="220" spans="2:16" ht="9" customHeight="1" x14ac:dyDescent="0.3">
      <c r="G220" s="27"/>
      <c r="H220" s="27"/>
      <c r="I220" s="27"/>
      <c r="M220" s="27"/>
      <c r="N220" s="27"/>
      <c r="O220" s="27"/>
      <c r="P220" s="27"/>
    </row>
    <row r="221" spans="2:16" ht="9" customHeight="1" x14ac:dyDescent="0.3">
      <c r="G221" s="27"/>
      <c r="H221" s="27"/>
      <c r="I221" s="27"/>
      <c r="M221" s="27"/>
      <c r="N221" s="27"/>
      <c r="O221" s="27"/>
      <c r="P221" s="27"/>
    </row>
    <row r="222" spans="2:16" ht="9" customHeight="1" x14ac:dyDescent="0.3">
      <c r="G222" s="27"/>
      <c r="H222" s="27"/>
      <c r="I222" s="27"/>
      <c r="M222" s="27"/>
      <c r="N222" s="27"/>
      <c r="O222" s="27"/>
      <c r="P222" s="27"/>
    </row>
    <row r="223" spans="2:16" ht="9" customHeight="1" x14ac:dyDescent="0.3">
      <c r="G223" s="27"/>
      <c r="H223" s="27"/>
      <c r="I223" s="27"/>
      <c r="M223" s="27"/>
      <c r="N223" s="27"/>
      <c r="O223" s="27"/>
      <c r="P223" s="27"/>
    </row>
    <row r="224" spans="2:16" ht="9" customHeight="1" x14ac:dyDescent="0.3">
      <c r="G224" s="27"/>
      <c r="H224" s="27"/>
      <c r="I224" s="27"/>
      <c r="M224" s="27"/>
      <c r="N224" s="27"/>
      <c r="O224" s="27"/>
      <c r="P224" s="27"/>
    </row>
    <row r="225" spans="7:30" ht="9" customHeight="1" x14ac:dyDescent="0.3">
      <c r="G225" s="27"/>
      <c r="H225" s="27"/>
      <c r="I225" s="27"/>
      <c r="M225" s="27"/>
      <c r="N225" s="27"/>
      <c r="O225" s="27"/>
      <c r="P225" s="27"/>
    </row>
    <row r="226" spans="7:30" ht="9" customHeight="1" x14ac:dyDescent="0.3">
      <c r="G226" s="27"/>
      <c r="H226" s="27"/>
      <c r="I226" s="27"/>
      <c r="M226" s="27"/>
      <c r="N226" s="27"/>
      <c r="O226" s="27"/>
      <c r="P226" s="27"/>
    </row>
    <row r="227" spans="7:30" ht="9" customHeight="1" x14ac:dyDescent="0.3">
      <c r="G227" s="27"/>
      <c r="H227" s="27"/>
      <c r="I227" s="27"/>
      <c r="M227" s="27"/>
      <c r="N227" s="27"/>
      <c r="O227" s="27"/>
      <c r="P227" s="27"/>
    </row>
    <row r="228" spans="7:30" ht="9" customHeight="1" x14ac:dyDescent="0.3">
      <c r="G228" s="27"/>
      <c r="H228" s="27"/>
      <c r="I228" s="27"/>
      <c r="M228" s="27"/>
      <c r="N228" s="27"/>
      <c r="O228" s="27"/>
      <c r="P228" s="27"/>
    </row>
    <row r="229" spans="7:30" ht="9" customHeight="1" x14ac:dyDescent="0.3">
      <c r="G229" s="27"/>
      <c r="H229" s="27"/>
      <c r="I229" s="27"/>
      <c r="M229" s="27"/>
      <c r="N229" s="27"/>
      <c r="O229" s="27"/>
      <c r="P229" s="27"/>
    </row>
    <row r="230" spans="7:30" ht="9" customHeight="1" x14ac:dyDescent="0.3">
      <c r="G230" s="27"/>
      <c r="H230" s="27"/>
      <c r="I230" s="27"/>
      <c r="M230" s="27"/>
      <c r="N230" s="27"/>
      <c r="O230" s="27"/>
      <c r="P230" s="27"/>
    </row>
    <row r="231" spans="7:30" ht="9" customHeight="1" x14ac:dyDescent="0.3">
      <c r="G231" s="27"/>
      <c r="H231" s="27"/>
      <c r="I231" s="27"/>
      <c r="M231" s="27"/>
      <c r="N231" s="27"/>
      <c r="O231" s="27"/>
      <c r="P231" s="27"/>
    </row>
    <row r="232" spans="7:30" ht="9" customHeight="1" x14ac:dyDescent="0.3">
      <c r="G232" s="27"/>
      <c r="H232" s="27"/>
      <c r="I232" s="27"/>
      <c r="M232" s="27"/>
      <c r="N232" s="27"/>
      <c r="O232" s="27"/>
      <c r="P232" s="27"/>
    </row>
    <row r="233" spans="7:30" ht="9" customHeight="1" x14ac:dyDescent="0.3">
      <c r="G233" s="27"/>
      <c r="H233" s="27"/>
      <c r="I233" s="27"/>
      <c r="M233" s="27"/>
      <c r="N233" s="27"/>
      <c r="O233" s="27"/>
      <c r="P233" s="27"/>
    </row>
    <row r="234" spans="7:30" ht="9" customHeight="1" x14ac:dyDescent="0.3">
      <c r="G234" s="27"/>
      <c r="H234" s="27"/>
      <c r="I234" s="27"/>
      <c r="M234" s="27"/>
      <c r="N234" s="27"/>
      <c r="O234" s="27"/>
      <c r="P234" s="27"/>
    </row>
    <row r="235" spans="7:30" ht="9" customHeight="1" x14ac:dyDescent="0.3">
      <c r="G235" s="27"/>
      <c r="H235" s="27"/>
      <c r="I235" s="27"/>
      <c r="M235" s="27"/>
      <c r="N235" s="27"/>
      <c r="O235" s="27"/>
      <c r="P235" s="27"/>
    </row>
    <row r="236" spans="7:30" ht="9" customHeight="1" x14ac:dyDescent="0.3">
      <c r="G236" s="27"/>
      <c r="H236" s="27"/>
      <c r="I236" s="27"/>
      <c r="M236" s="27"/>
      <c r="N236" s="27"/>
      <c r="O236" s="27"/>
      <c r="P236" s="27"/>
    </row>
    <row r="237" spans="7:30" ht="9" customHeight="1" x14ac:dyDescent="0.3">
      <c r="G237" s="27"/>
      <c r="H237" s="27"/>
      <c r="I237" s="27"/>
      <c r="M237" s="27"/>
      <c r="N237" s="27"/>
      <c r="O237" s="27"/>
      <c r="P237" s="27"/>
    </row>
    <row r="238" spans="7:30" ht="9" customHeight="1" x14ac:dyDescent="0.3">
      <c r="G238" s="27"/>
      <c r="H238" s="27"/>
      <c r="I238" s="27"/>
      <c r="M238" s="27"/>
      <c r="N238" s="27"/>
      <c r="O238" s="27"/>
      <c r="P238" s="27"/>
    </row>
    <row r="239" spans="7:30" ht="9" customHeight="1" x14ac:dyDescent="0.3">
      <c r="G239" s="27"/>
      <c r="H239" s="27"/>
      <c r="I239" s="27"/>
      <c r="M239" s="27"/>
      <c r="N239" s="27"/>
      <c r="O239" s="27"/>
      <c r="P239" s="27"/>
      <c r="Q239" s="20"/>
      <c r="R239" s="20"/>
      <c r="S239" s="20"/>
      <c r="T239" s="20"/>
      <c r="U239" s="20"/>
      <c r="V239" s="20"/>
      <c r="W239" s="20"/>
      <c r="X239" s="20"/>
      <c r="Y239" s="20"/>
      <c r="Z239" s="20"/>
      <c r="AA239" s="20"/>
      <c r="AB239" s="20"/>
      <c r="AC239" s="20"/>
      <c r="AD239" s="20"/>
    </row>
    <row r="240" spans="7:30" ht="9" customHeight="1" x14ac:dyDescent="0.3">
      <c r="G240" s="27"/>
      <c r="H240" s="27"/>
      <c r="I240" s="27"/>
      <c r="M240" s="27"/>
      <c r="N240" s="27"/>
      <c r="O240" s="27"/>
      <c r="P240" s="27"/>
      <c r="Q240" s="20"/>
      <c r="R240" s="20"/>
      <c r="S240" s="20"/>
      <c r="T240" s="20"/>
      <c r="U240" s="20"/>
      <c r="V240" s="20"/>
      <c r="W240" s="20"/>
      <c r="X240" s="20"/>
      <c r="Y240" s="20"/>
      <c r="Z240" s="20"/>
      <c r="AA240" s="20"/>
      <c r="AB240" s="20"/>
      <c r="AC240" s="20"/>
      <c r="AD240" s="20"/>
    </row>
    <row r="241" spans="7:30" ht="9" customHeight="1" x14ac:dyDescent="0.3">
      <c r="G241" s="27"/>
      <c r="H241" s="27"/>
      <c r="I241" s="27"/>
      <c r="M241" s="27"/>
      <c r="N241" s="27"/>
      <c r="O241" s="27"/>
      <c r="P241" s="27"/>
      <c r="Q241" s="20"/>
      <c r="R241" s="20"/>
      <c r="S241" s="20"/>
      <c r="T241" s="20"/>
      <c r="U241" s="20"/>
      <c r="V241" s="20"/>
      <c r="W241" s="20"/>
      <c r="X241" s="20"/>
      <c r="Y241" s="20"/>
      <c r="Z241" s="20"/>
      <c r="AA241" s="20"/>
      <c r="AB241" s="20"/>
      <c r="AC241" s="20"/>
      <c r="AD241" s="20"/>
    </row>
    <row r="242" spans="7:30" ht="9" customHeight="1" x14ac:dyDescent="0.3">
      <c r="G242" s="27"/>
      <c r="H242" s="27"/>
      <c r="I242" s="27"/>
      <c r="M242" s="27"/>
      <c r="N242" s="27"/>
      <c r="O242" s="27"/>
      <c r="P242" s="27"/>
      <c r="Q242" s="20"/>
      <c r="R242" s="20"/>
      <c r="S242" s="20"/>
      <c r="T242" s="20"/>
      <c r="U242" s="20"/>
      <c r="V242" s="20"/>
      <c r="W242" s="20"/>
      <c r="X242" s="20"/>
      <c r="Y242" s="20"/>
      <c r="Z242" s="20"/>
      <c r="AA242" s="20"/>
      <c r="AB242" s="20"/>
      <c r="AC242" s="20"/>
      <c r="AD242" s="20"/>
    </row>
    <row r="243" spans="7:30" ht="9" customHeight="1" x14ac:dyDescent="0.3">
      <c r="G243" s="27"/>
      <c r="H243" s="27"/>
      <c r="I243" s="27"/>
      <c r="M243" s="27"/>
      <c r="N243" s="27"/>
      <c r="O243" s="27"/>
      <c r="P243" s="27"/>
      <c r="Q243" s="20"/>
      <c r="R243" s="20"/>
      <c r="S243" s="20"/>
      <c r="T243" s="20"/>
      <c r="U243" s="20"/>
      <c r="V243" s="20"/>
      <c r="W243" s="20"/>
      <c r="X243" s="20"/>
      <c r="Y243" s="20"/>
      <c r="Z243" s="20"/>
      <c r="AA243" s="20"/>
      <c r="AB243" s="20"/>
      <c r="AC243" s="20"/>
      <c r="AD243" s="20"/>
    </row>
    <row r="244" spans="7:30" ht="9" customHeight="1" x14ac:dyDescent="0.3">
      <c r="G244" s="27"/>
      <c r="H244" s="27"/>
      <c r="I244" s="27"/>
      <c r="M244" s="27"/>
      <c r="N244" s="27"/>
      <c r="O244" s="27"/>
      <c r="P244" s="27"/>
      <c r="Q244" s="20"/>
      <c r="R244" s="20"/>
      <c r="S244" s="20"/>
      <c r="T244" s="20"/>
      <c r="U244" s="20"/>
      <c r="V244" s="20"/>
      <c r="W244" s="20"/>
      <c r="X244" s="20"/>
      <c r="Y244" s="20"/>
      <c r="Z244" s="20"/>
      <c r="AA244" s="20"/>
      <c r="AB244" s="20"/>
      <c r="AC244" s="20"/>
      <c r="AD244" s="20"/>
    </row>
    <row r="245" spans="7:30" ht="9" customHeight="1" x14ac:dyDescent="0.3">
      <c r="G245" s="27"/>
      <c r="H245" s="27"/>
      <c r="I245" s="27"/>
      <c r="M245" s="27"/>
      <c r="N245" s="27"/>
      <c r="O245" s="27"/>
      <c r="P245" s="27"/>
      <c r="Q245" s="20"/>
      <c r="R245" s="20"/>
      <c r="S245" s="20"/>
      <c r="T245" s="20"/>
      <c r="U245" s="20"/>
      <c r="V245" s="20"/>
      <c r="W245" s="20"/>
      <c r="X245" s="20"/>
      <c r="Y245" s="20"/>
      <c r="Z245" s="20"/>
      <c r="AA245" s="20"/>
      <c r="AB245" s="20"/>
      <c r="AC245" s="20"/>
      <c r="AD245" s="20"/>
    </row>
    <row r="246" spans="7:30" ht="9" customHeight="1" x14ac:dyDescent="0.3">
      <c r="G246" s="27"/>
      <c r="H246" s="27"/>
      <c r="I246" s="27"/>
      <c r="M246" s="27"/>
      <c r="N246" s="27"/>
      <c r="O246" s="27"/>
      <c r="P246" s="27"/>
      <c r="Q246" s="20"/>
      <c r="R246" s="20"/>
      <c r="S246" s="20"/>
      <c r="T246" s="20"/>
      <c r="U246" s="20"/>
      <c r="V246" s="20"/>
      <c r="W246" s="20"/>
      <c r="X246" s="20"/>
      <c r="Y246" s="20"/>
      <c r="Z246" s="20"/>
      <c r="AA246" s="20"/>
      <c r="AB246" s="20"/>
      <c r="AC246" s="20"/>
      <c r="AD246" s="20"/>
    </row>
    <row r="247" spans="7:30" ht="9" customHeight="1" x14ac:dyDescent="0.3">
      <c r="G247" s="27"/>
      <c r="H247" s="27"/>
      <c r="I247" s="27"/>
      <c r="M247" s="27"/>
      <c r="N247" s="27"/>
      <c r="O247" s="27"/>
      <c r="P247" s="27"/>
      <c r="Q247" s="20"/>
      <c r="R247" s="20"/>
      <c r="S247" s="20"/>
      <c r="T247" s="20"/>
      <c r="U247" s="20"/>
      <c r="V247" s="20"/>
      <c r="W247" s="20"/>
      <c r="X247" s="20"/>
      <c r="Y247" s="20"/>
      <c r="Z247" s="20"/>
      <c r="AA247" s="20"/>
      <c r="AB247" s="20"/>
      <c r="AC247" s="20"/>
      <c r="AD247" s="20"/>
    </row>
    <row r="248" spans="7:30" ht="9" customHeight="1" x14ac:dyDescent="0.3">
      <c r="G248" s="27"/>
      <c r="H248" s="27"/>
      <c r="I248" s="27"/>
      <c r="M248" s="27"/>
      <c r="N248" s="27"/>
      <c r="O248" s="27"/>
      <c r="P248" s="27"/>
      <c r="Q248" s="20"/>
      <c r="R248" s="20"/>
      <c r="S248" s="20"/>
      <c r="T248" s="20"/>
      <c r="U248" s="20"/>
      <c r="V248" s="20"/>
      <c r="W248" s="20"/>
      <c r="X248" s="20"/>
      <c r="Y248" s="20"/>
      <c r="Z248" s="20"/>
      <c r="AA248" s="20"/>
      <c r="AB248" s="20"/>
      <c r="AC248" s="20"/>
      <c r="AD248" s="20"/>
    </row>
    <row r="249" spans="7:30" ht="9" customHeight="1" x14ac:dyDescent="0.3">
      <c r="G249" s="27"/>
      <c r="H249" s="27"/>
      <c r="I249" s="27"/>
      <c r="M249" s="27"/>
      <c r="N249" s="27"/>
      <c r="O249" s="27"/>
      <c r="P249" s="27"/>
      <c r="Q249" s="20"/>
      <c r="R249" s="20"/>
      <c r="S249" s="20"/>
      <c r="T249" s="20"/>
      <c r="U249" s="20"/>
      <c r="V249" s="20"/>
      <c r="W249" s="20"/>
      <c r="X249" s="20"/>
      <c r="Y249" s="20"/>
      <c r="Z249" s="20"/>
      <c r="AA249" s="20"/>
      <c r="AB249" s="20"/>
      <c r="AC249" s="20"/>
      <c r="AD249" s="20"/>
    </row>
    <row r="250" spans="7:30" ht="9" customHeight="1" x14ac:dyDescent="0.3">
      <c r="G250" s="27"/>
      <c r="H250" s="27"/>
      <c r="I250" s="27"/>
      <c r="M250" s="27"/>
      <c r="N250" s="27"/>
      <c r="O250" s="27"/>
      <c r="P250" s="27"/>
      <c r="Q250" s="20"/>
      <c r="R250" s="20"/>
      <c r="S250" s="20"/>
      <c r="T250" s="20"/>
      <c r="U250" s="20"/>
      <c r="V250" s="20"/>
      <c r="W250" s="20"/>
      <c r="X250" s="20"/>
      <c r="Y250" s="20"/>
      <c r="Z250" s="20"/>
      <c r="AA250" s="20"/>
      <c r="AB250" s="20"/>
      <c r="AC250" s="20"/>
      <c r="AD250" s="20"/>
    </row>
    <row r="251" spans="7:30" ht="9" customHeight="1" x14ac:dyDescent="0.3">
      <c r="G251" s="27"/>
      <c r="H251" s="27"/>
      <c r="I251" s="27"/>
      <c r="M251" s="27"/>
      <c r="N251" s="27"/>
      <c r="O251" s="27"/>
      <c r="P251" s="27"/>
      <c r="Q251" s="20"/>
      <c r="R251" s="20"/>
      <c r="S251" s="20"/>
      <c r="T251" s="20"/>
      <c r="U251" s="20"/>
      <c r="V251" s="20"/>
      <c r="W251" s="20"/>
      <c r="X251" s="20"/>
      <c r="Y251" s="20"/>
      <c r="Z251" s="20"/>
      <c r="AA251" s="20"/>
      <c r="AB251" s="20"/>
      <c r="AC251" s="20"/>
      <c r="AD251" s="20"/>
    </row>
    <row r="252" spans="7:30" ht="9" customHeight="1" x14ac:dyDescent="0.3">
      <c r="G252" s="27"/>
      <c r="H252" s="27"/>
      <c r="I252" s="27"/>
      <c r="M252" s="27"/>
      <c r="N252" s="27"/>
      <c r="O252" s="27"/>
      <c r="P252" s="27"/>
      <c r="Q252" s="20"/>
      <c r="R252" s="20"/>
      <c r="S252" s="20"/>
      <c r="T252" s="20"/>
      <c r="U252" s="20"/>
      <c r="V252" s="20"/>
      <c r="W252" s="20"/>
      <c r="X252" s="20"/>
      <c r="Y252" s="20"/>
      <c r="Z252" s="20"/>
      <c r="AA252" s="20"/>
      <c r="AB252" s="20"/>
      <c r="AC252" s="20"/>
      <c r="AD252" s="20"/>
    </row>
    <row r="253" spans="7:30" ht="9" customHeight="1" x14ac:dyDescent="0.3">
      <c r="G253" s="27"/>
      <c r="H253" s="27"/>
      <c r="I253" s="27"/>
      <c r="M253" s="27"/>
      <c r="N253" s="27"/>
      <c r="O253" s="27"/>
      <c r="P253" s="27"/>
      <c r="Q253" s="20"/>
      <c r="R253" s="20"/>
      <c r="S253" s="20"/>
      <c r="T253" s="20"/>
      <c r="U253" s="20"/>
      <c r="V253" s="20"/>
      <c r="W253" s="20"/>
      <c r="X253" s="20"/>
      <c r="Y253" s="20"/>
      <c r="Z253" s="20"/>
      <c r="AA253" s="20"/>
      <c r="AB253" s="20"/>
      <c r="AC253" s="20"/>
      <c r="AD253" s="20"/>
    </row>
    <row r="254" spans="7:30" ht="9" customHeight="1" x14ac:dyDescent="0.3">
      <c r="G254" s="27"/>
      <c r="H254" s="27"/>
      <c r="I254" s="27"/>
      <c r="M254" s="27"/>
      <c r="N254" s="27"/>
      <c r="O254" s="27"/>
      <c r="P254" s="27"/>
      <c r="Q254" s="20"/>
      <c r="R254" s="20"/>
      <c r="S254" s="20"/>
      <c r="T254" s="20"/>
      <c r="U254" s="20"/>
      <c r="V254" s="20"/>
      <c r="W254" s="20"/>
      <c r="X254" s="20"/>
      <c r="Y254" s="20"/>
      <c r="Z254" s="20"/>
      <c r="AA254" s="20"/>
      <c r="AB254" s="20"/>
      <c r="AC254" s="20"/>
      <c r="AD254" s="20"/>
    </row>
    <row r="255" spans="7:30" ht="9" customHeight="1" x14ac:dyDescent="0.3">
      <c r="G255" s="27"/>
      <c r="H255" s="27"/>
      <c r="I255" s="27"/>
      <c r="M255" s="27"/>
      <c r="N255" s="27"/>
      <c r="O255" s="27"/>
      <c r="P255" s="27"/>
      <c r="Q255" s="20"/>
      <c r="R255" s="20"/>
      <c r="S255" s="20"/>
      <c r="T255" s="20"/>
      <c r="U255" s="20"/>
      <c r="V255" s="20"/>
      <c r="W255" s="20"/>
      <c r="X255" s="20"/>
      <c r="Y255" s="20"/>
      <c r="Z255" s="20"/>
      <c r="AA255" s="20"/>
      <c r="AB255" s="20"/>
      <c r="AC255" s="20"/>
      <c r="AD255" s="20"/>
    </row>
    <row r="256" spans="7:30" ht="9" customHeight="1" x14ac:dyDescent="0.3">
      <c r="G256" s="27"/>
      <c r="H256" s="27"/>
      <c r="I256" s="27"/>
      <c r="M256" s="27"/>
      <c r="N256" s="27"/>
      <c r="O256" s="27"/>
      <c r="P256" s="27"/>
      <c r="Q256" s="20"/>
      <c r="R256" s="20"/>
      <c r="S256" s="20"/>
      <c r="T256" s="20"/>
      <c r="U256" s="20"/>
      <c r="V256" s="20"/>
      <c r="W256" s="20"/>
      <c r="X256" s="20"/>
      <c r="Y256" s="20"/>
      <c r="Z256" s="20"/>
      <c r="AA256" s="20"/>
      <c r="AB256" s="20"/>
      <c r="AC256" s="20"/>
      <c r="AD256" s="20"/>
    </row>
    <row r="257" spans="7:30" ht="9" customHeight="1" x14ac:dyDescent="0.3">
      <c r="G257" s="27"/>
      <c r="H257" s="27"/>
      <c r="I257" s="27"/>
      <c r="M257" s="27"/>
      <c r="N257" s="27"/>
      <c r="O257" s="27"/>
      <c r="P257" s="27"/>
      <c r="Q257" s="20"/>
      <c r="R257" s="20"/>
      <c r="S257" s="20"/>
      <c r="T257" s="20"/>
      <c r="U257" s="20"/>
      <c r="V257" s="20"/>
      <c r="W257" s="20"/>
      <c r="X257" s="20"/>
      <c r="Y257" s="20"/>
      <c r="Z257" s="20"/>
      <c r="AA257" s="20"/>
      <c r="AB257" s="20"/>
      <c r="AC257" s="20"/>
      <c r="AD257" s="20"/>
    </row>
    <row r="258" spans="7:30" ht="9" customHeight="1" x14ac:dyDescent="0.3">
      <c r="G258" s="27"/>
      <c r="H258" s="27"/>
      <c r="I258" s="27"/>
      <c r="M258" s="27"/>
      <c r="N258" s="27"/>
      <c r="O258" s="27"/>
      <c r="P258" s="27"/>
      <c r="Q258" s="20"/>
      <c r="R258" s="20"/>
      <c r="S258" s="20"/>
      <c r="T258" s="20"/>
      <c r="U258" s="20"/>
      <c r="V258" s="20"/>
      <c r="W258" s="20"/>
      <c r="X258" s="20"/>
      <c r="Y258" s="20"/>
      <c r="Z258" s="20"/>
      <c r="AA258" s="20"/>
      <c r="AB258" s="20"/>
      <c r="AC258" s="20"/>
      <c r="AD258" s="20"/>
    </row>
    <row r="259" spans="7:30" ht="9" customHeight="1" x14ac:dyDescent="0.3">
      <c r="G259" s="27"/>
      <c r="H259" s="27"/>
      <c r="I259" s="27"/>
      <c r="M259" s="27"/>
      <c r="N259" s="27"/>
      <c r="O259" s="27"/>
      <c r="P259" s="27"/>
      <c r="Q259" s="20"/>
      <c r="R259" s="20"/>
      <c r="S259" s="20"/>
      <c r="T259" s="20"/>
      <c r="U259" s="20"/>
      <c r="V259" s="20"/>
      <c r="W259" s="20"/>
      <c r="X259" s="20"/>
      <c r="Y259" s="20"/>
      <c r="Z259" s="20"/>
      <c r="AA259" s="20"/>
      <c r="AB259" s="20"/>
      <c r="AC259" s="20"/>
      <c r="AD259" s="20"/>
    </row>
    <row r="260" spans="7:30" ht="9" customHeight="1" x14ac:dyDescent="0.3">
      <c r="G260" s="27"/>
      <c r="H260" s="27"/>
      <c r="I260" s="27"/>
      <c r="M260" s="27"/>
      <c r="N260" s="27"/>
      <c r="O260" s="27"/>
      <c r="P260" s="27"/>
      <c r="Q260" s="20"/>
      <c r="R260" s="20"/>
      <c r="S260" s="20"/>
      <c r="T260" s="20"/>
      <c r="U260" s="20"/>
      <c r="V260" s="20"/>
      <c r="W260" s="20"/>
      <c r="X260" s="20"/>
      <c r="Y260" s="20"/>
      <c r="Z260" s="20"/>
      <c r="AA260" s="20"/>
      <c r="AB260" s="20"/>
      <c r="AC260" s="20"/>
      <c r="AD260" s="20"/>
    </row>
    <row r="261" spans="7:30" ht="9" customHeight="1" x14ac:dyDescent="0.3">
      <c r="G261" s="27"/>
      <c r="H261" s="27"/>
      <c r="I261" s="27"/>
      <c r="M261" s="27"/>
      <c r="N261" s="27"/>
      <c r="O261" s="27"/>
      <c r="P261" s="27"/>
      <c r="Q261" s="20"/>
      <c r="R261" s="20"/>
      <c r="S261" s="20"/>
      <c r="T261" s="20"/>
      <c r="U261" s="20"/>
      <c r="V261" s="20"/>
      <c r="W261" s="20"/>
      <c r="X261" s="20"/>
      <c r="Y261" s="20"/>
      <c r="Z261" s="20"/>
      <c r="AA261" s="20"/>
      <c r="AB261" s="20"/>
      <c r="AC261" s="20"/>
      <c r="AD261" s="20"/>
    </row>
    <row r="262" spans="7:30" s="27" customFormat="1" ht="9" customHeight="1" x14ac:dyDescent="0.25"/>
    <row r="263" spans="7:30" s="27" customFormat="1" ht="9" customHeight="1" x14ac:dyDescent="0.25"/>
    <row r="264" spans="7:30" s="27" customFormat="1" ht="9" customHeight="1" x14ac:dyDescent="0.25"/>
    <row r="265" spans="7:30" s="27" customFormat="1" ht="9" customHeight="1" x14ac:dyDescent="0.25"/>
    <row r="266" spans="7:30" s="27" customFormat="1" ht="9" customHeight="1" x14ac:dyDescent="0.25"/>
    <row r="267" spans="7:30" s="27" customFormat="1" ht="9" customHeight="1" x14ac:dyDescent="0.25"/>
    <row r="268" spans="7:30" s="27" customFormat="1" ht="9" customHeight="1" x14ac:dyDescent="0.25"/>
    <row r="269" spans="7:30" s="27" customFormat="1" ht="9" customHeight="1" x14ac:dyDescent="0.25"/>
    <row r="270" spans="7:30" ht="9" customHeight="1" x14ac:dyDescent="0.3">
      <c r="G270" s="27"/>
      <c r="H270" s="27"/>
      <c r="I270" s="27"/>
      <c r="M270" s="27"/>
      <c r="N270" s="27"/>
      <c r="O270" s="27"/>
    </row>
    <row r="271" spans="7:30" ht="9" customHeight="1" x14ac:dyDescent="0.3">
      <c r="G271" s="27"/>
      <c r="H271" s="27"/>
      <c r="I271" s="27"/>
      <c r="M271" s="27"/>
      <c r="N271" s="27"/>
      <c r="O271" s="27"/>
    </row>
    <row r="272" spans="7:30" ht="9" customHeight="1" x14ac:dyDescent="0.3">
      <c r="G272" s="27"/>
      <c r="H272" s="27"/>
      <c r="I272" s="27"/>
      <c r="M272" s="27"/>
      <c r="N272" s="27"/>
      <c r="O272" s="27"/>
    </row>
    <row r="273" spans="7:15" ht="9" customHeight="1" x14ac:dyDescent="0.3">
      <c r="G273" s="27"/>
      <c r="H273" s="27"/>
      <c r="I273" s="27"/>
      <c r="M273" s="27"/>
      <c r="N273" s="27"/>
      <c r="O273" s="27"/>
    </row>
    <row r="274" spans="7:15" ht="9" customHeight="1" x14ac:dyDescent="0.3">
      <c r="G274" s="27"/>
      <c r="H274" s="27"/>
      <c r="I274" s="27"/>
      <c r="M274" s="27"/>
      <c r="N274" s="27"/>
      <c r="O274" s="27"/>
    </row>
    <row r="275" spans="7:15" ht="9" customHeight="1" x14ac:dyDescent="0.3">
      <c r="G275" s="27"/>
      <c r="H275" s="27"/>
      <c r="I275" s="27"/>
      <c r="M275" s="27"/>
      <c r="N275" s="27"/>
      <c r="O275" s="27"/>
    </row>
    <row r="276" spans="7:15" ht="9" customHeight="1" x14ac:dyDescent="0.3">
      <c r="G276" s="27"/>
      <c r="H276" s="27"/>
      <c r="I276" s="27"/>
      <c r="M276" s="27"/>
      <c r="N276" s="27"/>
      <c r="O276" s="27"/>
    </row>
    <row r="277" spans="7:15" ht="9" customHeight="1" x14ac:dyDescent="0.3">
      <c r="G277" s="27"/>
      <c r="H277" s="27"/>
      <c r="I277" s="27"/>
      <c r="M277" s="27"/>
      <c r="N277" s="27"/>
      <c r="O277" s="27"/>
    </row>
    <row r="278" spans="7:15" ht="9" customHeight="1" x14ac:dyDescent="0.3">
      <c r="G278" s="27"/>
      <c r="H278" s="27"/>
      <c r="I278" s="27"/>
      <c r="M278" s="27"/>
      <c r="N278" s="27"/>
      <c r="O278" s="27"/>
    </row>
    <row r="279" spans="7:15" ht="9" customHeight="1" x14ac:dyDescent="0.3">
      <c r="G279" s="27"/>
      <c r="H279" s="27"/>
      <c r="I279" s="27"/>
      <c r="M279" s="27"/>
      <c r="N279" s="27"/>
      <c r="O279" s="27"/>
    </row>
    <row r="280" spans="7:15" ht="9" customHeight="1" x14ac:dyDescent="0.3">
      <c r="G280" s="27"/>
      <c r="H280" s="27"/>
      <c r="I280" s="27"/>
      <c r="M280" s="27"/>
      <c r="N280" s="27"/>
      <c r="O280" s="27"/>
    </row>
    <row r="281" spans="7:15" ht="9" customHeight="1" x14ac:dyDescent="0.3">
      <c r="G281" s="27"/>
      <c r="H281" s="27"/>
      <c r="I281" s="27"/>
      <c r="M281" s="27"/>
      <c r="N281" s="27"/>
      <c r="O281" s="27"/>
    </row>
    <row r="282" spans="7:15" ht="9" customHeight="1" x14ac:dyDescent="0.3">
      <c r="G282" s="27"/>
      <c r="H282" s="27"/>
      <c r="I282" s="27"/>
      <c r="M282" s="27"/>
      <c r="N282" s="27"/>
      <c r="O282" s="27"/>
    </row>
    <row r="283" spans="7:15" ht="9" customHeight="1" x14ac:dyDescent="0.3">
      <c r="G283" s="27"/>
      <c r="H283" s="27"/>
      <c r="I283" s="27"/>
      <c r="M283" s="27"/>
      <c r="N283" s="27"/>
      <c r="O283" s="27"/>
    </row>
    <row r="284" spans="7:15" ht="9" customHeight="1" x14ac:dyDescent="0.3">
      <c r="G284" s="27"/>
      <c r="H284" s="27"/>
      <c r="I284" s="27"/>
      <c r="M284" s="27"/>
      <c r="N284" s="27"/>
      <c r="O284" s="27"/>
    </row>
    <row r="285" spans="7:15" ht="9" customHeight="1" x14ac:dyDescent="0.3">
      <c r="G285" s="27"/>
      <c r="H285" s="27"/>
      <c r="I285" s="27"/>
      <c r="M285" s="27"/>
      <c r="N285" s="27"/>
      <c r="O285" s="27"/>
    </row>
    <row r="286" spans="7:15" ht="9" customHeight="1" x14ac:dyDescent="0.3">
      <c r="G286" s="27"/>
      <c r="H286" s="27"/>
      <c r="I286" s="27"/>
      <c r="M286" s="27"/>
      <c r="N286" s="27"/>
      <c r="O286" s="27"/>
    </row>
    <row r="287" spans="7:15" ht="9" customHeight="1" x14ac:dyDescent="0.3">
      <c r="G287" s="27"/>
      <c r="H287" s="27"/>
      <c r="I287" s="27"/>
      <c r="M287" s="27"/>
      <c r="N287" s="27"/>
      <c r="O287" s="27"/>
    </row>
    <row r="288" spans="7:15" ht="9" customHeight="1" x14ac:dyDescent="0.3">
      <c r="G288" s="27"/>
      <c r="H288" s="27"/>
      <c r="I288" s="27"/>
      <c r="M288" s="27"/>
      <c r="N288" s="27"/>
      <c r="O288" s="27"/>
    </row>
    <row r="289" spans="7:15" ht="9" customHeight="1" x14ac:dyDescent="0.3">
      <c r="G289" s="27"/>
      <c r="H289" s="27"/>
      <c r="I289" s="27"/>
      <c r="M289" s="27"/>
      <c r="N289" s="27"/>
      <c r="O289" s="27"/>
    </row>
    <row r="290" spans="7:15" ht="9" customHeight="1" x14ac:dyDescent="0.3">
      <c r="G290" s="27"/>
      <c r="H290" s="27"/>
      <c r="I290" s="27"/>
      <c r="M290" s="27"/>
      <c r="N290" s="27"/>
      <c r="O290" s="27"/>
    </row>
    <row r="291" spans="7:15" ht="9" customHeight="1" x14ac:dyDescent="0.3">
      <c r="G291" s="27"/>
      <c r="H291" s="27"/>
      <c r="I291" s="27"/>
      <c r="M291" s="27"/>
      <c r="N291" s="27"/>
      <c r="O291" s="27"/>
    </row>
    <row r="292" spans="7:15" ht="9" customHeight="1" x14ac:dyDescent="0.3">
      <c r="G292" s="27"/>
      <c r="H292" s="27"/>
      <c r="I292" s="27"/>
      <c r="M292" s="27"/>
      <c r="N292" s="27"/>
      <c r="O292" s="27"/>
    </row>
    <row r="293" spans="7:15" ht="9" customHeight="1" x14ac:dyDescent="0.3">
      <c r="G293" s="27"/>
      <c r="H293" s="27"/>
      <c r="I293" s="27"/>
      <c r="M293" s="27"/>
      <c r="N293" s="27"/>
      <c r="O293" s="27"/>
    </row>
    <row r="294" spans="7:15" ht="9" customHeight="1" x14ac:dyDescent="0.3">
      <c r="G294" s="27"/>
      <c r="H294" s="27"/>
      <c r="I294" s="27"/>
      <c r="M294" s="27"/>
      <c r="N294" s="27"/>
      <c r="O294" s="27"/>
    </row>
    <row r="295" spans="7:15" ht="9" customHeight="1" x14ac:dyDescent="0.3">
      <c r="G295" s="27"/>
      <c r="H295" s="27"/>
      <c r="I295" s="27"/>
      <c r="M295" s="27"/>
      <c r="N295" s="27"/>
      <c r="O295" s="27"/>
    </row>
    <row r="296" spans="7:15" ht="9" customHeight="1" x14ac:dyDescent="0.3">
      <c r="G296" s="27"/>
      <c r="H296" s="27"/>
      <c r="I296" s="27"/>
      <c r="M296" s="27"/>
      <c r="N296" s="27"/>
      <c r="O296" s="27"/>
    </row>
    <row r="297" spans="7:15" ht="9" customHeight="1" x14ac:dyDescent="0.3">
      <c r="G297" s="27"/>
      <c r="H297" s="27"/>
      <c r="I297" s="27"/>
      <c r="M297" s="27"/>
      <c r="N297" s="27"/>
      <c r="O297" s="27"/>
    </row>
    <row r="298" spans="7:15" ht="9" customHeight="1" x14ac:dyDescent="0.3">
      <c r="G298" s="27"/>
      <c r="H298" s="27"/>
      <c r="I298" s="27"/>
      <c r="M298" s="27"/>
      <c r="N298" s="27"/>
      <c r="O298" s="27"/>
    </row>
    <row r="299" spans="7:15" ht="9" customHeight="1" x14ac:dyDescent="0.3">
      <c r="G299" s="27"/>
      <c r="H299" s="27"/>
      <c r="I299" s="27"/>
      <c r="M299" s="27"/>
      <c r="N299" s="27"/>
      <c r="O299" s="27"/>
    </row>
    <row r="300" spans="7:15" ht="9" customHeight="1" x14ac:dyDescent="0.3">
      <c r="G300" s="27"/>
      <c r="H300" s="27"/>
      <c r="I300" s="27"/>
      <c r="M300" s="27"/>
      <c r="N300" s="27"/>
      <c r="O300" s="27"/>
    </row>
    <row r="301" spans="7:15" ht="9" customHeight="1" x14ac:dyDescent="0.3">
      <c r="G301" s="27"/>
      <c r="H301" s="27"/>
      <c r="I301" s="27"/>
      <c r="M301" s="27"/>
      <c r="N301" s="27"/>
      <c r="O301" s="27"/>
    </row>
    <row r="302" spans="7:15" ht="9" customHeight="1" x14ac:dyDescent="0.3">
      <c r="G302" s="27"/>
      <c r="H302" s="27"/>
      <c r="I302" s="27"/>
      <c r="M302" s="27"/>
      <c r="N302" s="27"/>
      <c r="O302" s="27"/>
    </row>
    <row r="303" spans="7:15" ht="9" customHeight="1" x14ac:dyDescent="0.3">
      <c r="G303" s="27"/>
      <c r="H303" s="27"/>
      <c r="I303" s="27"/>
      <c r="M303" s="27"/>
      <c r="N303" s="27"/>
      <c r="O303" s="27"/>
    </row>
    <row r="304" spans="7:15" ht="9" customHeight="1" x14ac:dyDescent="0.3">
      <c r="G304" s="27"/>
      <c r="H304" s="27"/>
      <c r="I304" s="27"/>
      <c r="M304" s="27"/>
      <c r="N304" s="27"/>
      <c r="O304" s="27"/>
    </row>
    <row r="305" spans="7:30" ht="9" customHeight="1" x14ac:dyDescent="0.3">
      <c r="G305" s="27"/>
      <c r="H305" s="27"/>
      <c r="I305" s="27"/>
      <c r="M305" s="27"/>
      <c r="N305" s="27"/>
      <c r="O305" s="27"/>
    </row>
    <row r="306" spans="7:30" ht="9" customHeight="1" x14ac:dyDescent="0.3">
      <c r="G306" s="27"/>
      <c r="H306" s="27"/>
      <c r="I306" s="27"/>
      <c r="M306" s="27"/>
      <c r="N306" s="27"/>
      <c r="O306" s="27"/>
    </row>
    <row r="307" spans="7:30" ht="9" customHeight="1" x14ac:dyDescent="0.3">
      <c r="G307" s="27"/>
      <c r="H307" s="27"/>
      <c r="I307" s="27"/>
      <c r="M307" s="27"/>
      <c r="N307" s="27"/>
      <c r="O307" s="27"/>
    </row>
    <row r="308" spans="7:30" ht="9" customHeight="1" x14ac:dyDescent="0.3">
      <c r="G308" s="27"/>
      <c r="H308" s="27"/>
      <c r="I308" s="27"/>
      <c r="M308" s="27"/>
      <c r="N308" s="27"/>
      <c r="O308" s="27"/>
    </row>
    <row r="309" spans="7:30" ht="9" customHeight="1" x14ac:dyDescent="0.3">
      <c r="G309" s="27"/>
      <c r="H309" s="27"/>
      <c r="I309" s="27"/>
      <c r="M309" s="27"/>
      <c r="N309" s="27"/>
      <c r="O309" s="27"/>
    </row>
    <row r="310" spans="7:30" ht="9" customHeight="1" x14ac:dyDescent="0.3">
      <c r="G310" s="27"/>
      <c r="H310" s="27"/>
      <c r="I310" s="27"/>
      <c r="M310" s="27"/>
      <c r="N310" s="27"/>
      <c r="O310" s="27"/>
      <c r="P310" s="20"/>
      <c r="Q310" s="20"/>
      <c r="R310" s="20"/>
      <c r="S310" s="20"/>
      <c r="T310" s="20"/>
      <c r="U310" s="20"/>
      <c r="V310" s="20"/>
      <c r="W310" s="20"/>
      <c r="X310" s="20"/>
      <c r="Y310" s="20"/>
      <c r="Z310" s="20"/>
      <c r="AA310" s="20"/>
      <c r="AB310" s="20"/>
      <c r="AC310" s="20"/>
      <c r="AD310" s="20"/>
    </row>
    <row r="311" spans="7:30" ht="9" customHeight="1" x14ac:dyDescent="0.3">
      <c r="G311" s="27"/>
      <c r="H311" s="27"/>
      <c r="I311" s="27"/>
      <c r="M311" s="27"/>
      <c r="N311" s="27"/>
      <c r="O311" s="27"/>
      <c r="P311" s="20"/>
      <c r="Q311" s="20"/>
      <c r="R311" s="20"/>
      <c r="S311" s="20"/>
      <c r="T311" s="20"/>
      <c r="U311" s="20"/>
      <c r="V311" s="20"/>
      <c r="W311" s="20"/>
      <c r="X311" s="20"/>
      <c r="Y311" s="20"/>
      <c r="Z311" s="20"/>
      <c r="AA311" s="20"/>
      <c r="AB311" s="20"/>
      <c r="AC311" s="20"/>
      <c r="AD311" s="20"/>
    </row>
    <row r="312" spans="7:30" ht="9" customHeight="1" x14ac:dyDescent="0.3">
      <c r="G312" s="27"/>
      <c r="H312" s="27"/>
      <c r="I312" s="27"/>
      <c r="M312" s="27"/>
      <c r="N312" s="27"/>
      <c r="O312" s="27"/>
      <c r="P312" s="20"/>
      <c r="Q312" s="20"/>
      <c r="R312" s="20"/>
      <c r="S312" s="20"/>
      <c r="T312" s="20"/>
      <c r="U312" s="20"/>
      <c r="V312" s="20"/>
      <c r="W312" s="20"/>
      <c r="X312" s="20"/>
      <c r="Y312" s="20"/>
      <c r="Z312" s="20"/>
      <c r="AA312" s="20"/>
      <c r="AB312" s="20"/>
      <c r="AC312" s="20"/>
      <c r="AD312" s="20"/>
    </row>
    <row r="313" spans="7:30" ht="9" customHeight="1" x14ac:dyDescent="0.3">
      <c r="G313" s="27"/>
      <c r="H313" s="27"/>
      <c r="I313" s="27"/>
      <c r="M313" s="27"/>
      <c r="N313" s="27"/>
      <c r="O313" s="27"/>
      <c r="P313" s="20"/>
      <c r="Q313" s="20"/>
      <c r="R313" s="20"/>
      <c r="S313" s="20"/>
      <c r="T313" s="20"/>
      <c r="U313" s="20"/>
      <c r="V313" s="20"/>
      <c r="W313" s="20"/>
      <c r="X313" s="20"/>
      <c r="Y313" s="20"/>
      <c r="Z313" s="20"/>
      <c r="AA313" s="20"/>
      <c r="AB313" s="20"/>
      <c r="AC313" s="20"/>
      <c r="AD313" s="20"/>
    </row>
    <row r="314" spans="7:30" ht="9" customHeight="1" x14ac:dyDescent="0.3">
      <c r="G314" s="27"/>
      <c r="H314" s="27"/>
      <c r="I314" s="27"/>
      <c r="M314" s="27"/>
      <c r="N314" s="27"/>
      <c r="O314" s="27"/>
      <c r="P314" s="20"/>
      <c r="Q314" s="20"/>
      <c r="R314" s="20"/>
      <c r="S314" s="20"/>
      <c r="T314" s="20"/>
      <c r="U314" s="20"/>
      <c r="V314" s="20"/>
      <c r="W314" s="20"/>
      <c r="X314" s="20"/>
      <c r="Y314" s="20"/>
      <c r="Z314" s="20"/>
      <c r="AA314" s="20"/>
      <c r="AB314" s="20"/>
      <c r="AC314" s="20"/>
      <c r="AD314" s="20"/>
    </row>
    <row r="315" spans="7:30" ht="9" customHeight="1" x14ac:dyDescent="0.3">
      <c r="G315" s="27"/>
      <c r="H315" s="27"/>
      <c r="I315" s="27"/>
      <c r="M315" s="27"/>
      <c r="N315" s="27"/>
      <c r="O315" s="27"/>
      <c r="P315" s="20"/>
      <c r="Q315" s="20"/>
      <c r="R315" s="20"/>
      <c r="S315" s="20"/>
      <c r="T315" s="20"/>
      <c r="U315" s="20"/>
      <c r="V315" s="20"/>
      <c r="W315" s="20"/>
      <c r="X315" s="20"/>
      <c r="Y315" s="20"/>
      <c r="Z315" s="20"/>
      <c r="AA315" s="20"/>
      <c r="AB315" s="20"/>
      <c r="AC315" s="20"/>
      <c r="AD315" s="20"/>
    </row>
    <row r="316" spans="7:30" ht="9" customHeight="1" x14ac:dyDescent="0.3">
      <c r="G316" s="27"/>
      <c r="H316" s="27"/>
      <c r="I316" s="27"/>
      <c r="M316" s="27"/>
      <c r="N316" s="27"/>
      <c r="O316" s="27"/>
      <c r="P316" s="20"/>
      <c r="Q316" s="20"/>
      <c r="R316" s="20"/>
      <c r="S316" s="20"/>
      <c r="T316" s="20"/>
      <c r="U316" s="20"/>
      <c r="V316" s="20"/>
      <c r="W316" s="20"/>
      <c r="X316" s="20"/>
      <c r="Y316" s="20"/>
      <c r="Z316" s="20"/>
      <c r="AA316" s="20"/>
      <c r="AB316" s="20"/>
      <c r="AC316" s="20"/>
      <c r="AD316" s="20"/>
    </row>
    <row r="317" spans="7:30" ht="9" customHeight="1" x14ac:dyDescent="0.3">
      <c r="G317" s="27"/>
      <c r="H317" s="27"/>
      <c r="I317" s="27"/>
      <c r="M317" s="27"/>
      <c r="N317" s="27"/>
      <c r="O317" s="27"/>
      <c r="P317" s="20"/>
      <c r="Q317" s="20"/>
      <c r="R317" s="20"/>
      <c r="S317" s="20"/>
      <c r="T317" s="20"/>
      <c r="U317" s="20"/>
      <c r="V317" s="20"/>
      <c r="W317" s="20"/>
      <c r="X317" s="20"/>
      <c r="Y317" s="20"/>
      <c r="Z317" s="20"/>
      <c r="AA317" s="20"/>
      <c r="AB317" s="20"/>
      <c r="AC317" s="20"/>
      <c r="AD317" s="20"/>
    </row>
    <row r="318" spans="7:30" ht="9" customHeight="1" x14ac:dyDescent="0.3">
      <c r="G318" s="27"/>
      <c r="H318" s="27"/>
      <c r="I318" s="27"/>
      <c r="M318" s="27"/>
      <c r="N318" s="27"/>
      <c r="O318" s="27"/>
      <c r="P318" s="20"/>
      <c r="Q318" s="20"/>
      <c r="R318" s="20"/>
      <c r="S318" s="20"/>
      <c r="T318" s="20"/>
      <c r="U318" s="20"/>
      <c r="V318" s="20"/>
      <c r="W318" s="20"/>
      <c r="X318" s="20"/>
      <c r="Y318" s="20"/>
      <c r="Z318" s="20"/>
      <c r="AA318" s="20"/>
      <c r="AB318" s="20"/>
      <c r="AC318" s="20"/>
      <c r="AD318" s="20"/>
    </row>
    <row r="319" spans="7:30" ht="9" customHeight="1" x14ac:dyDescent="0.3">
      <c r="G319" s="27"/>
      <c r="H319" s="27"/>
      <c r="I319" s="27"/>
      <c r="M319" s="27"/>
      <c r="N319" s="27"/>
      <c r="O319" s="27"/>
      <c r="P319" s="20"/>
      <c r="Q319" s="20"/>
      <c r="R319" s="20"/>
      <c r="S319" s="20"/>
      <c r="T319" s="20"/>
      <c r="U319" s="20"/>
      <c r="V319" s="20"/>
      <c r="W319" s="20"/>
      <c r="X319" s="20"/>
      <c r="Y319" s="20"/>
      <c r="Z319" s="20"/>
      <c r="AA319" s="20"/>
      <c r="AB319" s="20"/>
      <c r="AC319" s="20"/>
      <c r="AD319" s="20"/>
    </row>
    <row r="320" spans="7:30" ht="9" customHeight="1" x14ac:dyDescent="0.3">
      <c r="G320" s="27"/>
      <c r="H320" s="27"/>
      <c r="I320" s="27"/>
      <c r="M320" s="27"/>
      <c r="N320" s="27"/>
      <c r="O320" s="27"/>
      <c r="P320" s="20"/>
      <c r="Q320" s="20"/>
      <c r="R320" s="20"/>
      <c r="S320" s="20"/>
      <c r="T320" s="20"/>
      <c r="U320" s="20"/>
      <c r="V320" s="20"/>
      <c r="W320" s="20"/>
      <c r="X320" s="20"/>
      <c r="Y320" s="20"/>
      <c r="Z320" s="20"/>
      <c r="AA320" s="20"/>
      <c r="AB320" s="20"/>
      <c r="AC320" s="20"/>
      <c r="AD320" s="20"/>
    </row>
    <row r="321" spans="7:30" ht="9" customHeight="1" x14ac:dyDescent="0.3">
      <c r="G321" s="27"/>
      <c r="H321" s="27"/>
      <c r="I321" s="27"/>
      <c r="M321" s="27"/>
      <c r="N321" s="27"/>
      <c r="O321" s="27"/>
      <c r="P321" s="20"/>
      <c r="Q321" s="20"/>
      <c r="R321" s="20"/>
      <c r="S321" s="20"/>
      <c r="T321" s="20"/>
      <c r="U321" s="20"/>
      <c r="V321" s="20"/>
      <c r="W321" s="20"/>
      <c r="X321" s="20"/>
      <c r="Y321" s="20"/>
      <c r="Z321" s="20"/>
      <c r="AA321" s="20"/>
      <c r="AB321" s="20"/>
      <c r="AC321" s="20"/>
      <c r="AD321" s="20"/>
    </row>
    <row r="322" spans="7:30" ht="9" customHeight="1" x14ac:dyDescent="0.3">
      <c r="G322" s="27"/>
      <c r="H322" s="27"/>
      <c r="I322" s="27"/>
      <c r="M322" s="27"/>
      <c r="N322" s="27"/>
      <c r="O322" s="27"/>
      <c r="P322" s="20"/>
      <c r="Q322" s="20"/>
      <c r="R322" s="20"/>
      <c r="S322" s="20"/>
      <c r="T322" s="20"/>
      <c r="U322" s="20"/>
      <c r="V322" s="20"/>
      <c r="W322" s="20"/>
      <c r="X322" s="20"/>
      <c r="Y322" s="20"/>
      <c r="Z322" s="20"/>
      <c r="AA322" s="20"/>
      <c r="AB322" s="20"/>
      <c r="AC322" s="20"/>
      <c r="AD322" s="20"/>
    </row>
    <row r="323" spans="7:30" ht="9" customHeight="1" x14ac:dyDescent="0.3">
      <c r="G323" s="27"/>
      <c r="H323" s="27"/>
      <c r="I323" s="27"/>
      <c r="M323" s="27"/>
      <c r="N323" s="27"/>
      <c r="O323" s="27"/>
      <c r="P323" s="20"/>
      <c r="Q323" s="20"/>
      <c r="R323" s="20"/>
      <c r="S323" s="20"/>
      <c r="T323" s="20"/>
      <c r="U323" s="20"/>
      <c r="V323" s="20"/>
      <c r="W323" s="20"/>
      <c r="X323" s="20"/>
      <c r="Y323" s="20"/>
      <c r="Z323" s="20"/>
      <c r="AA323" s="20"/>
      <c r="AB323" s="20"/>
      <c r="AC323" s="20"/>
      <c r="AD323" s="20"/>
    </row>
    <row r="324" spans="7:30" ht="9" customHeight="1" x14ac:dyDescent="0.3">
      <c r="G324" s="27"/>
      <c r="H324" s="27"/>
      <c r="I324" s="27"/>
      <c r="M324" s="27"/>
      <c r="N324" s="27"/>
      <c r="O324" s="27"/>
      <c r="P324" s="20"/>
      <c r="Q324" s="20"/>
      <c r="R324" s="20"/>
      <c r="S324" s="20"/>
      <c r="T324" s="20"/>
      <c r="U324" s="20"/>
      <c r="V324" s="20"/>
      <c r="W324" s="20"/>
      <c r="X324" s="20"/>
      <c r="Y324" s="20"/>
      <c r="Z324" s="20"/>
      <c r="AA324" s="20"/>
      <c r="AB324" s="20"/>
      <c r="AC324" s="20"/>
      <c r="AD324" s="20"/>
    </row>
    <row r="325" spans="7:30" ht="9" customHeight="1" x14ac:dyDescent="0.3">
      <c r="G325" s="27"/>
      <c r="H325" s="27"/>
      <c r="I325" s="27"/>
      <c r="M325" s="27"/>
      <c r="N325" s="27"/>
      <c r="O325" s="27"/>
      <c r="P325" s="20"/>
      <c r="Q325" s="20"/>
      <c r="R325" s="20"/>
      <c r="S325" s="20"/>
      <c r="T325" s="20"/>
      <c r="U325" s="20"/>
      <c r="V325" s="20"/>
      <c r="W325" s="20"/>
      <c r="X325" s="20"/>
      <c r="Y325" s="20"/>
      <c r="Z325" s="20"/>
      <c r="AA325" s="20"/>
      <c r="AB325" s="20"/>
      <c r="AC325" s="20"/>
      <c r="AD325" s="20"/>
    </row>
    <row r="326" spans="7:30" ht="9" customHeight="1" x14ac:dyDescent="0.3">
      <c r="G326" s="27"/>
      <c r="H326" s="27"/>
      <c r="I326" s="27"/>
      <c r="M326" s="27"/>
      <c r="N326" s="27"/>
      <c r="O326" s="27"/>
      <c r="P326" s="20"/>
      <c r="Q326" s="20"/>
      <c r="R326" s="20"/>
      <c r="S326" s="20"/>
      <c r="T326" s="20"/>
      <c r="U326" s="20"/>
      <c r="V326" s="20"/>
      <c r="W326" s="20"/>
      <c r="X326" s="20"/>
      <c r="Y326" s="20"/>
      <c r="Z326" s="20"/>
      <c r="AA326" s="20"/>
      <c r="AB326" s="20"/>
      <c r="AC326" s="20"/>
      <c r="AD326" s="20"/>
    </row>
    <row r="327" spans="7:30" ht="9" customHeight="1" x14ac:dyDescent="0.3">
      <c r="G327" s="27"/>
      <c r="H327" s="27"/>
      <c r="I327" s="27"/>
      <c r="M327" s="27"/>
      <c r="N327" s="27"/>
      <c r="O327" s="27"/>
      <c r="P327" s="20"/>
      <c r="Q327" s="20"/>
      <c r="R327" s="20"/>
      <c r="S327" s="20"/>
      <c r="T327" s="20"/>
      <c r="U327" s="20"/>
      <c r="V327" s="20"/>
      <c r="W327" s="20"/>
      <c r="X327" s="20"/>
      <c r="Y327" s="20"/>
      <c r="Z327" s="20"/>
      <c r="AA327" s="20"/>
      <c r="AB327" s="20"/>
      <c r="AC327" s="20"/>
      <c r="AD327" s="20"/>
    </row>
    <row r="328" spans="7:30" ht="9" customHeight="1" x14ac:dyDescent="0.3">
      <c r="G328" s="27"/>
      <c r="H328" s="27"/>
      <c r="I328" s="27"/>
      <c r="M328" s="27"/>
      <c r="N328" s="27"/>
      <c r="O328" s="27"/>
      <c r="P328" s="20"/>
      <c r="Q328" s="20"/>
      <c r="R328" s="20"/>
      <c r="S328" s="20"/>
      <c r="T328" s="20"/>
      <c r="U328" s="20"/>
      <c r="V328" s="20"/>
      <c r="W328" s="20"/>
      <c r="X328" s="20"/>
      <c r="Y328" s="20"/>
      <c r="Z328" s="20"/>
      <c r="AA328" s="20"/>
      <c r="AB328" s="20"/>
      <c r="AC328" s="20"/>
      <c r="AD328" s="20"/>
    </row>
    <row r="329" spans="7:30" ht="9" customHeight="1" x14ac:dyDescent="0.3">
      <c r="G329" s="27"/>
      <c r="H329" s="27"/>
      <c r="I329" s="27"/>
      <c r="M329" s="27"/>
      <c r="N329" s="27"/>
      <c r="O329" s="27"/>
      <c r="P329" s="20"/>
      <c r="Q329" s="20"/>
      <c r="R329" s="20"/>
      <c r="S329" s="20"/>
      <c r="T329" s="20"/>
      <c r="U329" s="20"/>
      <c r="V329" s="20"/>
      <c r="W329" s="20"/>
      <c r="X329" s="20"/>
      <c r="Y329" s="20"/>
      <c r="Z329" s="20"/>
      <c r="AA329" s="20"/>
      <c r="AB329" s="20"/>
      <c r="AC329" s="20"/>
      <c r="AD329" s="20"/>
    </row>
    <row r="330" spans="7:30" ht="9" customHeight="1" x14ac:dyDescent="0.3">
      <c r="G330" s="27"/>
      <c r="H330" s="27"/>
      <c r="I330" s="27"/>
      <c r="M330" s="27"/>
      <c r="N330" s="27"/>
      <c r="O330" s="27"/>
      <c r="P330" s="20"/>
      <c r="Q330" s="20"/>
      <c r="R330" s="20"/>
      <c r="S330" s="20"/>
      <c r="T330" s="20"/>
      <c r="U330" s="20"/>
      <c r="V330" s="20"/>
      <c r="W330" s="20"/>
      <c r="X330" s="20"/>
      <c r="Y330" s="20"/>
      <c r="Z330" s="20"/>
      <c r="AA330" s="20"/>
      <c r="AB330" s="20"/>
      <c r="AC330" s="20"/>
      <c r="AD330" s="20"/>
    </row>
    <row r="331" spans="7:30" ht="9" customHeight="1" x14ac:dyDescent="0.3">
      <c r="G331" s="27"/>
      <c r="H331" s="27"/>
      <c r="I331" s="27"/>
      <c r="M331" s="27"/>
      <c r="N331" s="27"/>
      <c r="O331" s="27"/>
      <c r="P331" s="20"/>
      <c r="Q331" s="20"/>
      <c r="R331" s="20"/>
      <c r="S331" s="20"/>
      <c r="T331" s="20"/>
      <c r="U331" s="20"/>
      <c r="V331" s="20"/>
      <c r="W331" s="20"/>
      <c r="X331" s="20"/>
      <c r="Y331" s="20"/>
      <c r="Z331" s="20"/>
      <c r="AA331" s="20"/>
      <c r="AB331" s="20"/>
      <c r="AC331" s="20"/>
      <c r="AD331" s="20"/>
    </row>
    <row r="332" spans="7:30" ht="9" customHeight="1" x14ac:dyDescent="0.3">
      <c r="G332" s="27"/>
      <c r="H332" s="27"/>
      <c r="I332" s="27"/>
      <c r="M332" s="27"/>
      <c r="N332" s="27"/>
      <c r="O332" s="27"/>
      <c r="P332" s="20"/>
      <c r="Q332" s="20"/>
      <c r="R332" s="20"/>
      <c r="S332" s="20"/>
      <c r="T332" s="20"/>
      <c r="U332" s="20"/>
      <c r="V332" s="20"/>
      <c r="W332" s="20"/>
      <c r="X332" s="20"/>
      <c r="Y332" s="20"/>
      <c r="Z332" s="20"/>
      <c r="AA332" s="20"/>
      <c r="AB332" s="20"/>
      <c r="AC332" s="20"/>
      <c r="AD332" s="20"/>
    </row>
    <row r="333" spans="7:30" s="27" customFormat="1" ht="9" customHeight="1" x14ac:dyDescent="0.25"/>
    <row r="334" spans="7:30" s="27" customFormat="1" ht="9" customHeight="1" x14ac:dyDescent="0.25"/>
    <row r="335" spans="7:30" s="27" customFormat="1" ht="9" customHeight="1" x14ac:dyDescent="0.25"/>
    <row r="336" spans="7:30" s="27" customFormat="1" ht="9" customHeight="1" x14ac:dyDescent="0.25"/>
  </sheetData>
  <mergeCells count="246">
    <mergeCell ref="B181:D185"/>
    <mergeCell ref="B186:D190"/>
    <mergeCell ref="B191:D195"/>
    <mergeCell ref="K207:P209"/>
    <mergeCell ref="J181:L185"/>
    <mergeCell ref="J186:L190"/>
    <mergeCell ref="J191:L195"/>
    <mergeCell ref="J196:L200"/>
    <mergeCell ref="J201:L205"/>
    <mergeCell ref="E191:F195"/>
    <mergeCell ref="E186:F190"/>
    <mergeCell ref="E181:F185"/>
    <mergeCell ref="E171:F175"/>
    <mergeCell ref="E176:F180"/>
    <mergeCell ref="J114:L118"/>
    <mergeCell ref="J119:L123"/>
    <mergeCell ref="J124:L128"/>
    <mergeCell ref="J129:L133"/>
    <mergeCell ref="E119:F123"/>
    <mergeCell ref="J109:L113"/>
    <mergeCell ref="E146:F150"/>
    <mergeCell ref="E151:F155"/>
    <mergeCell ref="E156:F160"/>
    <mergeCell ref="J146:L150"/>
    <mergeCell ref="J151:L155"/>
    <mergeCell ref="J156:L160"/>
    <mergeCell ref="H113:I113"/>
    <mergeCell ref="J89:L93"/>
    <mergeCell ref="J84:L88"/>
    <mergeCell ref="J79:L83"/>
    <mergeCell ref="J74:L78"/>
    <mergeCell ref="B74:D78"/>
    <mergeCell ref="B79:D83"/>
    <mergeCell ref="B84:D88"/>
    <mergeCell ref="B89:D93"/>
    <mergeCell ref="B94:D98"/>
    <mergeCell ref="B109:D113"/>
    <mergeCell ref="B114:D118"/>
    <mergeCell ref="B119:D123"/>
    <mergeCell ref="B124:D128"/>
    <mergeCell ref="B129:D133"/>
    <mergeCell ref="E129:F133"/>
    <mergeCell ref="E124:F128"/>
    <mergeCell ref="E109:F113"/>
    <mergeCell ref="E114:F118"/>
    <mergeCell ref="E74:F78"/>
    <mergeCell ref="E79:F83"/>
    <mergeCell ref="E84:F88"/>
    <mergeCell ref="E89:F93"/>
    <mergeCell ref="E94:F98"/>
    <mergeCell ref="E99:F103"/>
    <mergeCell ref="E104:F108"/>
    <mergeCell ref="B99:D103"/>
    <mergeCell ref="B104:D108"/>
    <mergeCell ref="J52:L56"/>
    <mergeCell ref="J57:L61"/>
    <mergeCell ref="J62:L66"/>
    <mergeCell ref="E62:F66"/>
    <mergeCell ref="E57:F61"/>
    <mergeCell ref="E52:F56"/>
    <mergeCell ref="E47:F51"/>
    <mergeCell ref="E42:F46"/>
    <mergeCell ref="B42:D46"/>
    <mergeCell ref="B47:D51"/>
    <mergeCell ref="B52:D56"/>
    <mergeCell ref="B57:D61"/>
    <mergeCell ref="B62:D66"/>
    <mergeCell ref="A207:H207"/>
    <mergeCell ref="B208:H212"/>
    <mergeCell ref="N200:O200"/>
    <mergeCell ref="A201:A205"/>
    <mergeCell ref="H205:I205"/>
    <mergeCell ref="N205:O205"/>
    <mergeCell ref="A196:A200"/>
    <mergeCell ref="H200:I200"/>
    <mergeCell ref="E201:F205"/>
    <mergeCell ref="E196:F200"/>
    <mergeCell ref="B196:D200"/>
    <mergeCell ref="B201:D205"/>
    <mergeCell ref="H180:I180"/>
    <mergeCell ref="N180:O180"/>
    <mergeCell ref="B145:D145"/>
    <mergeCell ref="E145:F145"/>
    <mergeCell ref="G145:I145"/>
    <mergeCell ref="J145:L145"/>
    <mergeCell ref="M145:O145"/>
    <mergeCell ref="A146:A150"/>
    <mergeCell ref="H150:I150"/>
    <mergeCell ref="N150:O150"/>
    <mergeCell ref="B146:D150"/>
    <mergeCell ref="B151:D155"/>
    <mergeCell ref="B156:D160"/>
    <mergeCell ref="J161:L165"/>
    <mergeCell ref="J166:L170"/>
    <mergeCell ref="J171:L175"/>
    <mergeCell ref="J176:L180"/>
    <mergeCell ref="E166:F170"/>
    <mergeCell ref="E161:F165"/>
    <mergeCell ref="B161:D165"/>
    <mergeCell ref="B166:D170"/>
    <mergeCell ref="B171:D175"/>
    <mergeCell ref="B176:D180"/>
    <mergeCell ref="A109:A113"/>
    <mergeCell ref="A42:A46"/>
    <mergeCell ref="A47:A51"/>
    <mergeCell ref="A52:A56"/>
    <mergeCell ref="A57:A61"/>
    <mergeCell ref="A62:A66"/>
    <mergeCell ref="A191:A195"/>
    <mergeCell ref="H195:I195"/>
    <mergeCell ref="N195:O195"/>
    <mergeCell ref="H155:I155"/>
    <mergeCell ref="N155:O155"/>
    <mergeCell ref="A156:A160"/>
    <mergeCell ref="H160:I160"/>
    <mergeCell ref="N165:O165"/>
    <mergeCell ref="A166:A170"/>
    <mergeCell ref="H170:I170"/>
    <mergeCell ref="N170:O170"/>
    <mergeCell ref="A151:A155"/>
    <mergeCell ref="N185:O185"/>
    <mergeCell ref="A186:A190"/>
    <mergeCell ref="H190:I190"/>
    <mergeCell ref="N190:O190"/>
    <mergeCell ref="N175:O175"/>
    <mergeCell ref="A176:A180"/>
    <mergeCell ref="J94:L98"/>
    <mergeCell ref="A84:A88"/>
    <mergeCell ref="H108:I108"/>
    <mergeCell ref="A17:A21"/>
    <mergeCell ref="A22:A26"/>
    <mergeCell ref="A27:A31"/>
    <mergeCell ref="A32:A36"/>
    <mergeCell ref="A37:A41"/>
    <mergeCell ref="N108:O108"/>
    <mergeCell ref="H93:I93"/>
    <mergeCell ref="N93:O93"/>
    <mergeCell ref="H88:I88"/>
    <mergeCell ref="N88:O88"/>
    <mergeCell ref="A79:A83"/>
    <mergeCell ref="H83:I83"/>
    <mergeCell ref="N83:O83"/>
    <mergeCell ref="A89:A93"/>
    <mergeCell ref="A94:A98"/>
    <mergeCell ref="A99:A103"/>
    <mergeCell ref="A104:A108"/>
    <mergeCell ref="B17:D21"/>
    <mergeCell ref="B22:D26"/>
    <mergeCell ref="B27:D31"/>
    <mergeCell ref="B32:D36"/>
    <mergeCell ref="A114:A118"/>
    <mergeCell ref="A7:A11"/>
    <mergeCell ref="A12:A16"/>
    <mergeCell ref="B73:D73"/>
    <mergeCell ref="E73:F73"/>
    <mergeCell ref="G73:I73"/>
    <mergeCell ref="J73:L73"/>
    <mergeCell ref="M73:O73"/>
    <mergeCell ref="A74:A78"/>
    <mergeCell ref="N78:O78"/>
    <mergeCell ref="H41:I41"/>
    <mergeCell ref="N41:O41"/>
    <mergeCell ref="H31:I31"/>
    <mergeCell ref="N31:O31"/>
    <mergeCell ref="N66:O66"/>
    <mergeCell ref="H78:I78"/>
    <mergeCell ref="H66:I66"/>
    <mergeCell ref="N113:O113"/>
    <mergeCell ref="H103:I103"/>
    <mergeCell ref="N103:O103"/>
    <mergeCell ref="H98:I98"/>
    <mergeCell ref="N98:O98"/>
    <mergeCell ref="J104:L108"/>
    <mergeCell ref="J99:L103"/>
    <mergeCell ref="B2:C2"/>
    <mergeCell ref="B3:C3"/>
    <mergeCell ref="D3:F3"/>
    <mergeCell ref="D2:F2"/>
    <mergeCell ref="G2:H2"/>
    <mergeCell ref="G3:H3"/>
    <mergeCell ref="N118:O118"/>
    <mergeCell ref="A181:A185"/>
    <mergeCell ref="H185:I185"/>
    <mergeCell ref="A171:A175"/>
    <mergeCell ref="H175:I175"/>
    <mergeCell ref="A161:A165"/>
    <mergeCell ref="H165:I165"/>
    <mergeCell ref="N160:O160"/>
    <mergeCell ref="H133:I133"/>
    <mergeCell ref="N133:O133"/>
    <mergeCell ref="A129:A133"/>
    <mergeCell ref="H128:I128"/>
    <mergeCell ref="N128:O128"/>
    <mergeCell ref="A124:A128"/>
    <mergeCell ref="H123:I123"/>
    <mergeCell ref="N123:O123"/>
    <mergeCell ref="A119:A123"/>
    <mergeCell ref="H118:I118"/>
    <mergeCell ref="E6:F6"/>
    <mergeCell ref="B6:D6"/>
    <mergeCell ref="H46:I46"/>
    <mergeCell ref="B4:C4"/>
    <mergeCell ref="M6:O6"/>
    <mergeCell ref="J6:L6"/>
    <mergeCell ref="H11:I11"/>
    <mergeCell ref="G6:I6"/>
    <mergeCell ref="N26:O26"/>
    <mergeCell ref="H16:I16"/>
    <mergeCell ref="N16:O16"/>
    <mergeCell ref="H21:I21"/>
    <mergeCell ref="N21:O21"/>
    <mergeCell ref="D4:J4"/>
    <mergeCell ref="B7:D11"/>
    <mergeCell ref="B12:D16"/>
    <mergeCell ref="B37:D41"/>
    <mergeCell ref="E7:F11"/>
    <mergeCell ref="E17:F21"/>
    <mergeCell ref="E12:F16"/>
    <mergeCell ref="E22:F26"/>
    <mergeCell ref="E27:F31"/>
    <mergeCell ref="E32:F36"/>
    <mergeCell ref="E37:F41"/>
    <mergeCell ref="K2:L2"/>
    <mergeCell ref="M2:O2"/>
    <mergeCell ref="N61:O61"/>
    <mergeCell ref="H56:I56"/>
    <mergeCell ref="N56:O56"/>
    <mergeCell ref="H51:I51"/>
    <mergeCell ref="N51:O51"/>
    <mergeCell ref="N46:O46"/>
    <mergeCell ref="H36:I36"/>
    <mergeCell ref="N36:O36"/>
    <mergeCell ref="N11:O11"/>
    <mergeCell ref="H26:I26"/>
    <mergeCell ref="J37:L41"/>
    <mergeCell ref="J32:L36"/>
    <mergeCell ref="J42:L46"/>
    <mergeCell ref="J7:L11"/>
    <mergeCell ref="J12:L16"/>
    <mergeCell ref="J17:L21"/>
    <mergeCell ref="J22:L26"/>
    <mergeCell ref="J27:L31"/>
    <mergeCell ref="J47:L51"/>
    <mergeCell ref="H61:I61"/>
    <mergeCell ref="I2:J2"/>
    <mergeCell ref="I3:J3"/>
  </mergeCells>
  <phoneticPr fontId="3" type="noConversion"/>
  <conditionalFormatting sqref="H11:H66 N11:N66">
    <cfRule type="expression" dxfId="19" priority="25">
      <formula>AND(ISNUMBER(H11), H11&gt;=500)</formula>
    </cfRule>
    <cfRule type="expression" dxfId="18" priority="26">
      <formula>AND(ISNUMBER(H11), H11&gt;=50)</formula>
    </cfRule>
    <cfRule type="expression" dxfId="17" priority="27">
      <formula>AND(ISNUMBER(H11), H11&gt;=5)</formula>
    </cfRule>
    <cfRule type="expression" dxfId="16" priority="28">
      <formula>AND(ISNUMBER(H11), H11&lt;5)</formula>
    </cfRule>
  </conditionalFormatting>
  <conditionalFormatting sqref="H78:H133 N78:N133">
    <cfRule type="expression" dxfId="15" priority="9">
      <formula>AND(ISNUMBER(H78), H78&gt;=500)</formula>
    </cfRule>
    <cfRule type="expression" dxfId="14" priority="10">
      <formula>AND(ISNUMBER(H78), H78&gt;=50)</formula>
    </cfRule>
    <cfRule type="expression" dxfId="13" priority="11">
      <formula>AND(ISNUMBER(H78), H78&gt;=5)</formula>
    </cfRule>
    <cfRule type="expression" dxfId="12" priority="12">
      <formula>AND(ISNUMBER(H78), H78&lt;5)</formula>
    </cfRule>
  </conditionalFormatting>
  <conditionalFormatting sqref="H150:H205">
    <cfRule type="expression" dxfId="11" priority="5">
      <formula>AND(ISNUMBER(H150), H150&gt;=500)</formula>
    </cfRule>
    <cfRule type="expression" dxfId="10" priority="6">
      <formula>AND(ISNUMBER(H150), H150&gt;=50)</formula>
    </cfRule>
    <cfRule type="expression" dxfId="9" priority="7">
      <formula>AND(ISNUMBER(H150), H150&gt;=5)</formula>
    </cfRule>
    <cfRule type="expression" dxfId="8" priority="8">
      <formula>AND(ISNUMBER(H150), H150&lt;5)</formula>
    </cfRule>
  </conditionalFormatting>
  <conditionalFormatting sqref="N150:N205">
    <cfRule type="expression" dxfId="7" priority="1">
      <formula>AND(ISNUMBER(N150), N150&gt;=500)</formula>
    </cfRule>
    <cfRule type="expression" dxfId="6" priority="2">
      <formula>AND(ISNUMBER(N150), N150&gt;=50)</formula>
    </cfRule>
    <cfRule type="expression" dxfId="5" priority="3">
      <formula>AND(ISNUMBER(N150), N150&gt;=5)</formula>
    </cfRule>
    <cfRule type="expression" dxfId="4" priority="4">
      <formula>AND(ISNUMBER(N150), N150&lt;5)</formula>
    </cfRule>
  </conditionalFormatting>
  <dataValidations disablePrompts="1" count="4">
    <dataValidation type="list" allowBlank="1" showInputMessage="1" showErrorMessage="1" sqref="N27 N12 N37 N47 H17 N52 H22 H7 H27 N57 H32 N62 H37 H12 H42 N32 H47 N42 H52 N17 H57 N22 H62 N7 N89 N79 N99 N109 H84 N114 H89 H74 H94 N119 H99 N124 H104 H79 H109 N94 H114 N104 H119 N146 H124 N84 H129 N74 N166 N151 N176 N186 H156 N191 H161 H146 H166 N196 H171 N201 H176 H151 H181 N171 H186 N181 H191 N129 H196 N161 H201 N156" xr:uid="{A01F6ED9-240A-4977-B008-55CF4459681F}">
      <formula1>LikelihoodList</formula1>
    </dataValidation>
    <dataValidation type="list" allowBlank="1" showInputMessage="1" showErrorMessage="1" sqref="N28 N13 N38 N48 H18 N53 H23 H8 H28 N58 H33 N63 H38 H13 H43 N33 H48 N43 H53 N18 H58 N23 H63 N8 N90 N80 N100 N110 H85 N115 H90 H75 H95 N120 H100 N125 H105 H80 H110 N95 H115 N105 H120 N147 H125 N85 H130 N75 N167 N152 N177 N187 H157 N192 H162 H147 H167 N197 H172 N202 H177 H152 H182 N172 H187 N182 H192 N130 H197 N162 H202 N157" xr:uid="{63C388DF-2262-4A4E-A06E-B9670E53CF84}">
      <formula1>FrequencyList</formula1>
    </dataValidation>
    <dataValidation type="list" showInputMessage="1" showErrorMessage="1" sqref="N29 N14 N39 N49 H19 N54 H24 H9 H29 N59 H34 N64 H39 H14 H44 N34 H49 N44 H54 N19 H59 N24 H64 N9 N91 N81 N101 N111 H86 N116 H91 H76 H96 N121 H101 N126 H106 H81 H111 N96 H116 N106 H121 N148 H126 N86 H131 N76 N168 N153 N178 N188 H158 N193 H163 H148 H168 N198 H173 N203 H178 H153 H183 N173 H188 N183 H193 N131 H198 N163 H203 N158" xr:uid="{295982C8-EA76-4FD4-93CC-CE02087E71C5}">
      <formula1>SeverityList</formula1>
    </dataValidation>
    <dataValidation type="list" allowBlank="1" showInputMessage="1" showErrorMessage="1" sqref="N30 N15 N40 N50 H20 N55 H25 H10 H30 N60 H35 N65 H40 H15 H45 N35 H50 N45 H55 N20 H60 N25 H65 N10 N92 N82 N102 N112 H87 N117 H92 H77 H97 N122 H102 N127 H107 H82 H112 N97 H117 N107 H122 N149 H127 N87 H132 N77 N169 N154 N179 N189 H159 N194 H164 H149 H169 N199 H174 N204 H179 H154 H184 N174 H189 N184 H194 N132 H199 N164 H204 N159" xr:uid="{ADAEF18E-629E-4687-886F-CDA7F3500D49}">
      <formula1>PersonsList</formula1>
    </dataValidation>
  </dataValidations>
  <pageMargins left="0.25" right="0.25" top="0.75" bottom="0.75" header="0.3" footer="0.3"/>
  <pageSetup paperSize="3" scale="99" fitToHeight="0" orientation="landscape" r:id="rId1"/>
  <headerFooter>
    <oddHeader>&amp;L&amp;G&amp;C
&amp;F&amp;R
&amp;D</oddHeader>
    <oddFooter>&amp;CPage &amp;P of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571A4-E905-413D-98B2-AD9A65F1F22B}">
  <sheetPr codeName="Sheet2"/>
  <dimension ref="A1:J37"/>
  <sheetViews>
    <sheetView zoomScale="115" zoomScaleNormal="115" workbookViewId="0">
      <selection activeCell="F3" sqref="F3"/>
    </sheetView>
  </sheetViews>
  <sheetFormatPr defaultRowHeight="14.4" x14ac:dyDescent="0.3"/>
  <cols>
    <col min="1" max="1" width="10.77734375" customWidth="1"/>
    <col min="2" max="2" width="50.77734375" customWidth="1"/>
    <col min="3" max="13" width="10.77734375" customWidth="1"/>
  </cols>
  <sheetData>
    <row r="1" spans="1:10" x14ac:dyDescent="0.3">
      <c r="A1" s="63" t="s">
        <v>41</v>
      </c>
      <c r="B1" s="64"/>
      <c r="F1" s="65" t="s">
        <v>18</v>
      </c>
      <c r="G1" s="65"/>
      <c r="H1" s="65"/>
      <c r="I1" s="65"/>
      <c r="J1" s="65"/>
    </row>
    <row r="2" spans="1:10" x14ac:dyDescent="0.3">
      <c r="A2" s="6" t="s">
        <v>32</v>
      </c>
      <c r="B2" s="12" t="s">
        <v>42</v>
      </c>
      <c r="F2" s="1" t="s">
        <v>19</v>
      </c>
      <c r="G2" s="66" t="s">
        <v>23</v>
      </c>
      <c r="H2" s="66"/>
      <c r="I2" s="66"/>
      <c r="J2" s="66"/>
    </row>
    <row r="3" spans="1:10" x14ac:dyDescent="0.3">
      <c r="A3" s="5">
        <v>3.3000000000000002E-2</v>
      </c>
      <c r="B3" s="9" t="s">
        <v>4</v>
      </c>
      <c r="F3" s="2" t="s">
        <v>20</v>
      </c>
      <c r="G3" s="67" t="s">
        <v>24</v>
      </c>
      <c r="H3" s="67"/>
      <c r="I3" s="67"/>
      <c r="J3" s="67"/>
    </row>
    <row r="4" spans="1:10" x14ac:dyDescent="0.3">
      <c r="A4" s="5">
        <v>1</v>
      </c>
      <c r="B4" s="9" t="s">
        <v>48</v>
      </c>
      <c r="F4" s="3" t="s">
        <v>21</v>
      </c>
      <c r="G4" s="68" t="s">
        <v>25</v>
      </c>
      <c r="H4" s="68"/>
      <c r="I4" s="68"/>
      <c r="J4" s="68"/>
    </row>
    <row r="5" spans="1:10" x14ac:dyDescent="0.3">
      <c r="A5" s="5">
        <v>1.5</v>
      </c>
      <c r="B5" s="9" t="s">
        <v>5</v>
      </c>
      <c r="F5" s="4" t="s">
        <v>22</v>
      </c>
      <c r="G5" s="62" t="s">
        <v>26</v>
      </c>
      <c r="H5" s="62"/>
      <c r="I5" s="62"/>
      <c r="J5" s="62"/>
    </row>
    <row r="6" spans="1:10" x14ac:dyDescent="0.3">
      <c r="A6" s="5">
        <v>2</v>
      </c>
      <c r="B6" s="9" t="s">
        <v>6</v>
      </c>
    </row>
    <row r="7" spans="1:10" x14ac:dyDescent="0.3">
      <c r="A7" s="5">
        <v>5</v>
      </c>
      <c r="B7" s="9" t="s">
        <v>7</v>
      </c>
    </row>
    <row r="8" spans="1:10" x14ac:dyDescent="0.3">
      <c r="A8" s="5">
        <v>8</v>
      </c>
      <c r="B8" s="9" t="s">
        <v>8</v>
      </c>
    </row>
    <row r="9" spans="1:10" x14ac:dyDescent="0.3">
      <c r="A9" s="5">
        <v>10</v>
      </c>
      <c r="B9" s="9" t="s">
        <v>9</v>
      </c>
    </row>
    <row r="10" spans="1:10" x14ac:dyDescent="0.3">
      <c r="A10" s="7">
        <v>15</v>
      </c>
      <c r="B10" s="13" t="s">
        <v>10</v>
      </c>
    </row>
    <row r="11" spans="1:10" x14ac:dyDescent="0.3">
      <c r="A11" s="8"/>
      <c r="B11" s="8"/>
    </row>
    <row r="12" spans="1:10" x14ac:dyDescent="0.3">
      <c r="A12" s="10" t="s">
        <v>11</v>
      </c>
      <c r="B12" s="11"/>
    </row>
    <row r="13" spans="1:10" x14ac:dyDescent="0.3">
      <c r="A13" s="6" t="s">
        <v>32</v>
      </c>
      <c r="B13" s="12" t="s">
        <v>33</v>
      </c>
    </row>
    <row r="14" spans="1:10" x14ac:dyDescent="0.3">
      <c r="A14" s="5">
        <v>0.5</v>
      </c>
      <c r="B14" s="9" t="s">
        <v>12</v>
      </c>
    </row>
    <row r="15" spans="1:10" x14ac:dyDescent="0.3">
      <c r="A15" s="5">
        <v>1</v>
      </c>
      <c r="B15" s="9" t="s">
        <v>13</v>
      </c>
    </row>
    <row r="16" spans="1:10" x14ac:dyDescent="0.3">
      <c r="A16" s="5">
        <v>1.5</v>
      </c>
      <c r="B16" s="9" t="s">
        <v>14</v>
      </c>
    </row>
    <row r="17" spans="1:2" x14ac:dyDescent="0.3">
      <c r="A17" s="5">
        <v>2.5</v>
      </c>
      <c r="B17" s="9" t="s">
        <v>15</v>
      </c>
    </row>
    <row r="18" spans="1:2" x14ac:dyDescent="0.3">
      <c r="A18" s="5">
        <v>4</v>
      </c>
      <c r="B18" s="9" t="s">
        <v>16</v>
      </c>
    </row>
    <row r="19" spans="1:2" x14ac:dyDescent="0.3">
      <c r="A19" s="7">
        <v>5</v>
      </c>
      <c r="B19" s="13" t="s">
        <v>17</v>
      </c>
    </row>
    <row r="20" spans="1:2" x14ac:dyDescent="0.3">
      <c r="A20" s="8"/>
      <c r="B20" s="8"/>
    </row>
    <row r="21" spans="1:2" x14ac:dyDescent="0.3">
      <c r="A21" s="10" t="s">
        <v>27</v>
      </c>
      <c r="B21" s="11"/>
    </row>
    <row r="22" spans="1:2" x14ac:dyDescent="0.3">
      <c r="A22" s="6" t="s">
        <v>32</v>
      </c>
      <c r="B22" s="12" t="s">
        <v>34</v>
      </c>
    </row>
    <row r="23" spans="1:2" x14ac:dyDescent="0.3">
      <c r="A23" s="5">
        <v>0.1</v>
      </c>
      <c r="B23" s="9" t="s">
        <v>28</v>
      </c>
    </row>
    <row r="24" spans="1:2" x14ac:dyDescent="0.3">
      <c r="A24" s="5">
        <v>0.5</v>
      </c>
      <c r="B24" s="9" t="s">
        <v>29</v>
      </c>
    </row>
    <row r="25" spans="1:2" x14ac:dyDescent="0.3">
      <c r="A25" s="5">
        <v>2</v>
      </c>
      <c r="B25" s="9" t="s">
        <v>51</v>
      </c>
    </row>
    <row r="26" spans="1:2" x14ac:dyDescent="0.3">
      <c r="A26" s="5">
        <v>4</v>
      </c>
      <c r="B26" s="9" t="s">
        <v>52</v>
      </c>
    </row>
    <row r="27" spans="1:2" x14ac:dyDescent="0.3">
      <c r="A27" s="5">
        <v>6</v>
      </c>
      <c r="B27" s="9" t="s">
        <v>58</v>
      </c>
    </row>
    <row r="28" spans="1:2" x14ac:dyDescent="0.3">
      <c r="A28" s="5">
        <v>10</v>
      </c>
      <c r="B28" s="9" t="s">
        <v>59</v>
      </c>
    </row>
    <row r="29" spans="1:2" x14ac:dyDescent="0.3">
      <c r="A29" s="7">
        <v>15</v>
      </c>
      <c r="B29" s="13" t="s">
        <v>30</v>
      </c>
    </row>
    <row r="30" spans="1:2" x14ac:dyDescent="0.3">
      <c r="A30" s="8"/>
      <c r="B30" s="8"/>
    </row>
    <row r="31" spans="1:2" x14ac:dyDescent="0.3">
      <c r="A31" s="10" t="s">
        <v>31</v>
      </c>
      <c r="B31" s="11"/>
    </row>
    <row r="32" spans="1:2" x14ac:dyDescent="0.3">
      <c r="A32" s="6" t="s">
        <v>32</v>
      </c>
      <c r="B32" s="12" t="s">
        <v>35</v>
      </c>
    </row>
    <row r="33" spans="1:2" x14ac:dyDescent="0.3">
      <c r="A33" s="5">
        <v>1</v>
      </c>
      <c r="B33" s="9" t="s">
        <v>36</v>
      </c>
    </row>
    <row r="34" spans="1:2" x14ac:dyDescent="0.3">
      <c r="A34" s="5">
        <v>2</v>
      </c>
      <c r="B34" s="9" t="s">
        <v>37</v>
      </c>
    </row>
    <row r="35" spans="1:2" x14ac:dyDescent="0.3">
      <c r="A35" s="5">
        <v>4</v>
      </c>
      <c r="B35" s="9" t="s">
        <v>38</v>
      </c>
    </row>
    <row r="36" spans="1:2" x14ac:dyDescent="0.3">
      <c r="A36" s="5">
        <v>8</v>
      </c>
      <c r="B36" s="9" t="s">
        <v>39</v>
      </c>
    </row>
    <row r="37" spans="1:2" x14ac:dyDescent="0.3">
      <c r="A37" s="7">
        <v>12</v>
      </c>
      <c r="B37" s="13" t="s">
        <v>40</v>
      </c>
    </row>
  </sheetData>
  <mergeCells count="6">
    <mergeCell ref="G5:J5"/>
    <mergeCell ref="A1:B1"/>
    <mergeCell ref="F1:J1"/>
    <mergeCell ref="G2:J2"/>
    <mergeCell ref="G3:J3"/>
    <mergeCell ref="G4:J4"/>
  </mergeCells>
  <pageMargins left="0.7" right="0.7" top="0.75" bottom="0.75" header="0.3" footer="0.3"/>
  <tableParts count="4">
    <tablePart r:id="rId1"/>
    <tablePart r:id="rId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588E6-BCDE-4E59-8AE1-64DCAED6EC0F}">
  <sheetPr codeName="Sheet3"/>
  <dimension ref="A1:AE5"/>
  <sheetViews>
    <sheetView workbookViewId="0">
      <selection activeCell="B42" sqref="B42"/>
    </sheetView>
  </sheetViews>
  <sheetFormatPr defaultRowHeight="14.4" x14ac:dyDescent="0.3"/>
  <sheetData>
    <row r="1" spans="1:31" ht="9" customHeight="1" x14ac:dyDescent="0.3">
      <c r="A1" s="61" t="s">
        <v>55</v>
      </c>
      <c r="B1" s="61"/>
      <c r="C1" s="61"/>
      <c r="D1" s="61" t="s">
        <v>56</v>
      </c>
      <c r="E1" s="61"/>
      <c r="F1" s="16" t="s">
        <v>42</v>
      </c>
      <c r="G1" s="17"/>
      <c r="H1" s="18"/>
      <c r="I1" s="20"/>
      <c r="J1" s="61" t="s">
        <v>57</v>
      </c>
      <c r="K1" s="61"/>
      <c r="L1" s="61"/>
      <c r="M1" s="16" t="s">
        <v>42</v>
      </c>
      <c r="N1" s="17"/>
      <c r="O1" s="18"/>
      <c r="P1" s="20"/>
      <c r="Q1" s="20"/>
      <c r="R1" s="20"/>
      <c r="S1" s="20"/>
      <c r="T1" s="20"/>
      <c r="U1" s="20"/>
      <c r="V1" s="20"/>
      <c r="W1" s="20"/>
      <c r="X1" s="20"/>
      <c r="Y1" s="20"/>
      <c r="Z1" s="20"/>
      <c r="AA1" s="20"/>
      <c r="AB1" s="20"/>
      <c r="AC1" s="20"/>
      <c r="AD1" s="20"/>
      <c r="AE1" s="20"/>
    </row>
    <row r="2" spans="1:31" ht="9" customHeight="1" x14ac:dyDescent="0.3">
      <c r="A2" s="61"/>
      <c r="B2" s="61"/>
      <c r="C2" s="61"/>
      <c r="D2" s="61"/>
      <c r="E2" s="61"/>
      <c r="F2" s="16" t="s">
        <v>33</v>
      </c>
      <c r="G2" s="19"/>
      <c r="H2" s="19"/>
      <c r="I2" s="21"/>
      <c r="J2" s="61"/>
      <c r="K2" s="61"/>
      <c r="L2" s="61"/>
      <c r="M2" s="16" t="s">
        <v>33</v>
      </c>
      <c r="N2" s="19"/>
      <c r="O2" s="19"/>
      <c r="P2" s="20"/>
      <c r="Q2" s="20"/>
      <c r="R2" s="20"/>
      <c r="S2" s="20"/>
      <c r="T2" s="20"/>
      <c r="U2" s="20"/>
      <c r="V2" s="20"/>
      <c r="W2" s="20"/>
      <c r="X2" s="20"/>
      <c r="Y2" s="20"/>
      <c r="Z2" s="20"/>
      <c r="AA2" s="20"/>
      <c r="AB2" s="20"/>
      <c r="AC2" s="20"/>
      <c r="AD2" s="20"/>
      <c r="AE2" s="20"/>
    </row>
    <row r="3" spans="1:31" ht="9" customHeight="1" x14ac:dyDescent="0.3">
      <c r="A3" s="61"/>
      <c r="B3" s="61"/>
      <c r="C3" s="61"/>
      <c r="D3" s="61"/>
      <c r="E3" s="61"/>
      <c r="F3" s="16" t="s">
        <v>34</v>
      </c>
      <c r="G3" s="19"/>
      <c r="H3" s="19"/>
      <c r="I3" s="21"/>
      <c r="J3" s="61"/>
      <c r="K3" s="61"/>
      <c r="L3" s="61"/>
      <c r="M3" s="16" t="s">
        <v>34</v>
      </c>
      <c r="N3" s="19"/>
      <c r="O3" s="19"/>
      <c r="P3" s="20"/>
      <c r="Q3" s="20"/>
      <c r="R3" s="20"/>
      <c r="S3" s="20"/>
      <c r="T3" s="20"/>
      <c r="U3" s="20"/>
      <c r="V3" s="20"/>
      <c r="W3" s="20"/>
      <c r="X3" s="20"/>
      <c r="Y3" s="20"/>
      <c r="Z3" s="20"/>
      <c r="AA3" s="20"/>
      <c r="AB3" s="20"/>
      <c r="AC3" s="20"/>
      <c r="AD3" s="20"/>
      <c r="AE3" s="20"/>
    </row>
    <row r="4" spans="1:31" ht="9" customHeight="1" thickBot="1" x14ac:dyDescent="0.35">
      <c r="A4" s="61"/>
      <c r="B4" s="61"/>
      <c r="C4" s="61"/>
      <c r="D4" s="61"/>
      <c r="E4" s="61"/>
      <c r="F4" s="16" t="s">
        <v>43</v>
      </c>
      <c r="G4" s="19"/>
      <c r="H4" s="19"/>
      <c r="I4" s="21"/>
      <c r="J4" s="61"/>
      <c r="K4" s="61"/>
      <c r="L4" s="61"/>
      <c r="M4" s="16" t="s">
        <v>43</v>
      </c>
      <c r="N4" s="19"/>
      <c r="O4" s="19"/>
      <c r="P4" s="20"/>
      <c r="Q4" s="20"/>
      <c r="R4" s="20"/>
      <c r="S4" s="20"/>
      <c r="T4" s="20"/>
      <c r="U4" s="20"/>
      <c r="V4" s="20"/>
      <c r="W4" s="20"/>
      <c r="X4" s="20"/>
      <c r="Y4" s="20"/>
      <c r="Z4" s="20"/>
      <c r="AA4" s="20"/>
      <c r="AB4" s="20"/>
      <c r="AC4" s="20"/>
      <c r="AD4" s="20"/>
      <c r="AE4" s="20"/>
    </row>
    <row r="5" spans="1:31" ht="9" customHeight="1" thickBot="1" x14ac:dyDescent="0.35">
      <c r="A5" s="24"/>
      <c r="B5" s="24"/>
      <c r="C5" s="24"/>
      <c r="D5" s="24"/>
      <c r="E5" s="25"/>
      <c r="F5" s="22" t="s">
        <v>46</v>
      </c>
      <c r="G5" s="37" t="str">
        <f ca="1">IF(OR(ISNA(_xlfn.XLOOKUP(INDIRECT("R[-4]C", 0), LO[Likelihood], LO[Value])),ISNA(_xlfn.XLOOKUP(INDIRECT("R[-3]C", 0), FE[Frequency], FE[Value])),ISNA(_xlfn.XLOOKUP(INDIRECT("R[-2]C", 0), DPH[Severity], DPH[Value])),ISNA(_xlfn.XLOOKUP(INDIRECT("R[-1]C", 0), NP[At Risk], NP[Value]))),"PENDING",PRODUCT(_xlfn.XLOOKUP(INDIRECT("R[-4]C", 0), LO[Likelihood], LO[Value]),_xlfn.XLOOKUP(INDIRECT("R[-3]C", 0), FE[Frequency], FE[Value]),_xlfn.XLOOKUP(INDIRECT("R[-2]C", 0), DPH[Severity], DPH[Value]),_xlfn.XLOOKUP(INDIRECT("R[-1]C", 0), NP[At Risk], NP[Value])))</f>
        <v>PENDING</v>
      </c>
      <c r="H5" s="38"/>
      <c r="I5" s="23"/>
      <c r="J5" s="23"/>
      <c r="K5" s="23"/>
      <c r="L5" s="23"/>
      <c r="M5" s="22" t="s">
        <v>46</v>
      </c>
      <c r="N5" s="37" t="str">
        <f ca="1">IF(OR(ISNA(_xlfn.XLOOKUP(INDIRECT("R[-4]C", 0), LO[Likelihood], LO[Value])),ISNA(_xlfn.XLOOKUP(INDIRECT("R[-3]C", 0), FE[Frequency], FE[Value])),ISNA(_xlfn.XLOOKUP(INDIRECT("R[-2]C", 0), DPH[Severity], DPH[Value])),ISNA(_xlfn.XLOOKUP(INDIRECT("R[-1]C", 0), NP[At Risk], NP[Value]))),"PENDING",PRODUCT(_xlfn.XLOOKUP(INDIRECT("R[-4]C", 0), LO[Likelihood], LO[Value]),_xlfn.XLOOKUP(INDIRECT("R[-3]C", 0), FE[Frequency], FE[Value]),_xlfn.XLOOKUP(INDIRECT("R[-2]C", 0), DPH[Severity], DPH[Value]),_xlfn.XLOOKUP(INDIRECT("R[-1]C", 0), NP[At Risk], NP[Value])))</f>
        <v>PENDING</v>
      </c>
      <c r="O5" s="38"/>
      <c r="P5" s="20"/>
      <c r="Q5" s="20"/>
      <c r="R5" s="20"/>
      <c r="S5" s="20"/>
      <c r="T5" s="20"/>
      <c r="U5" s="20"/>
      <c r="V5" s="20"/>
      <c r="W5" s="20"/>
      <c r="X5" s="20"/>
      <c r="Y5" s="20"/>
      <c r="Z5" s="20"/>
      <c r="AA5" s="20"/>
      <c r="AB5" s="20"/>
      <c r="AC5" s="20"/>
      <c r="AD5" s="20"/>
      <c r="AE5" s="20"/>
    </row>
  </sheetData>
  <mergeCells count="5">
    <mergeCell ref="G5:H5"/>
    <mergeCell ref="N5:O5"/>
    <mergeCell ref="A1:C4"/>
    <mergeCell ref="D1:E4"/>
    <mergeCell ref="J1:L4"/>
  </mergeCells>
  <conditionalFormatting sqref="G1:G5 N1:N5">
    <cfRule type="expression" dxfId="3" priority="5">
      <formula>AND(ISNUMBER(G1), G1&gt;500)</formula>
    </cfRule>
    <cfRule type="expression" dxfId="2" priority="6">
      <formula>AND(ISNUMBER(G1), G1&gt;50)</formula>
    </cfRule>
    <cfRule type="expression" dxfId="1" priority="7">
      <formula>AND(ISNUMBER(G1), G1&gt;5)</formula>
    </cfRule>
    <cfRule type="expression" dxfId="0" priority="8">
      <formula>AND(ISNUMBER(G1), G1&lt;5)</formula>
    </cfRule>
  </conditionalFormatting>
  <dataValidations count="4">
    <dataValidation type="list" allowBlank="1" showInputMessage="1" showErrorMessage="1" sqref="G4 N4" xr:uid="{C3B09706-10A7-4506-915B-08BE8ED13F86}">
      <formula1>PersonsList</formula1>
    </dataValidation>
    <dataValidation type="list" showInputMessage="1" showErrorMessage="1" sqref="G3 N3" xr:uid="{372F3B1A-5CE5-4D40-9D48-5CD92FF319A4}">
      <formula1>SeverityList</formula1>
    </dataValidation>
    <dataValidation type="list" allowBlank="1" showInputMessage="1" showErrorMessage="1" sqref="G2 N2" xr:uid="{C3A700D5-23BE-4378-9CD0-B0BFD84DC6DA}">
      <formula1>FrequencyList</formula1>
    </dataValidation>
    <dataValidation type="list" allowBlank="1" showInputMessage="1" showErrorMessage="1" sqref="G1 N1" xr:uid="{DF8EF8DD-4FAE-47C3-BC22-905A1654E716}">
      <formula1>LikelihoodList</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Risk Assessment</vt:lpstr>
      <vt:lpstr>Data</vt:lpstr>
      <vt:lpstr>Template RA Line</vt:lpstr>
      <vt:lpstr>FrequencyList</vt:lpstr>
      <vt:lpstr>LikelihoodList</vt:lpstr>
      <vt:lpstr>PersonsList</vt:lpstr>
      <vt:lpstr>SeverityList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Aaron D</dc:creator>
  <cp:lastModifiedBy>Aaron Denk</cp:lastModifiedBy>
  <cp:lastPrinted>2026-03-03T15:56:47Z</cp:lastPrinted>
  <dcterms:created xsi:type="dcterms:W3CDTF">2025-07-17T16:11:54Z</dcterms:created>
  <dcterms:modified xsi:type="dcterms:W3CDTF">2026-03-03T16:06:11Z</dcterms:modified>
</cp:coreProperties>
</file>